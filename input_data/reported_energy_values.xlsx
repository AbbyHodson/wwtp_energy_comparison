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ahodson/Desktop/"/>
    </mc:Choice>
  </mc:AlternateContent>
  <xr:revisionPtr revIDLastSave="0" documentId="8_{11BBB723-BCAA-E84C-AA02-02351294257F}" xr6:coauthVersionLast="47" xr6:coauthVersionMax="47" xr10:uidLastSave="{00000000-0000-0000-0000-000000000000}"/>
  <bookViews>
    <workbookView xWindow="2840" yWindow="760" windowWidth="30240" windowHeight="17440" xr2:uid="{00000000-000D-0000-FFFF-FFFF00000000}"/>
  </bookViews>
  <sheets>
    <sheet name="chini_report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4" roundtripDataChecksum="Micn1pACVi7qU4NIxJ0fc6aCckckPUi7RkQnWVY8tSE="/>
    </ext>
  </extLst>
</workbook>
</file>

<file path=xl/calcChain.xml><?xml version="1.0" encoding="utf-8"?>
<calcChain xmlns="http://schemas.openxmlformats.org/spreadsheetml/2006/main">
  <c r="I76" i="1" l="1"/>
  <c r="E73" i="1"/>
  <c r="F71" i="1"/>
  <c r="I62" i="1"/>
  <c r="F61" i="1"/>
  <c r="F52" i="1"/>
  <c r="F38" i="1"/>
</calcChain>
</file>

<file path=xl/sharedStrings.xml><?xml version="1.0" encoding="utf-8"?>
<sst xmlns="http://schemas.openxmlformats.org/spreadsheetml/2006/main" count="269" uniqueCount="228">
  <si>
    <t>City_name</t>
  </si>
  <si>
    <t>Utility_name</t>
  </si>
  <si>
    <t>Notes</t>
  </si>
  <si>
    <t>State</t>
  </si>
  <si>
    <t>Volume (MG)</t>
  </si>
  <si>
    <t>Imported Electricity (kWh)</t>
  </si>
  <si>
    <t>AlexandriaVA</t>
  </si>
  <si>
    <t>Natural Gas (therm)</t>
  </si>
  <si>
    <t>Fuel oil (gal)</t>
  </si>
  <si>
    <t>AustinTX</t>
  </si>
  <si>
    <t>Biogas generation (therms)</t>
  </si>
  <si>
    <t>AlbanyNY</t>
  </si>
  <si>
    <t>Albany County Sewer District</t>
  </si>
  <si>
    <t>South plant serving city</t>
  </si>
  <si>
    <t>NY</t>
  </si>
  <si>
    <t>AlexRenew</t>
  </si>
  <si>
    <t>Corrected electricity to be imported</t>
  </si>
  <si>
    <t>VA</t>
  </si>
  <si>
    <t>AmarilloTX</t>
  </si>
  <si>
    <t>City of Amarillo</t>
  </si>
  <si>
    <t>Should include 48000105005, but this plant didn't report in 2012 CWNS</t>
  </si>
  <si>
    <t>ColumbusOH</t>
  </si>
  <si>
    <t>TX</t>
  </si>
  <si>
    <t>AnchorageAK</t>
  </si>
  <si>
    <t>Anchorage Water and Wastewater Utility</t>
  </si>
  <si>
    <t>AK</t>
  </si>
  <si>
    <t>AugustaGA</t>
  </si>
  <si>
    <t>Augusta Georgia Utilities Department (Water and Wastewater)</t>
  </si>
  <si>
    <t>GA</t>
  </si>
  <si>
    <t>Austin Water Utility (Water and Wastewater)</t>
  </si>
  <si>
    <t>BakersfieldCA</t>
  </si>
  <si>
    <t>City of Bakersfield (Water and Wastewater)</t>
  </si>
  <si>
    <t>Separated imported and total electricity consumed; corrected biogas</t>
  </si>
  <si>
    <t>CA</t>
  </si>
  <si>
    <t>BaltimoreMD</t>
  </si>
  <si>
    <t>Baltimore City Department of Public of Works</t>
  </si>
  <si>
    <t>MD</t>
  </si>
  <si>
    <t>BeaumontTX</t>
  </si>
  <si>
    <t>City of Beaumont</t>
  </si>
  <si>
    <t>MadisonWI</t>
  </si>
  <si>
    <t>BillingsMT</t>
  </si>
  <si>
    <t>City of Billings (Water and Wastewater)</t>
  </si>
  <si>
    <t>MilwaukeeWI</t>
  </si>
  <si>
    <t>NewarkNJ</t>
  </si>
  <si>
    <t>MT</t>
  </si>
  <si>
    <t>BostonMA</t>
  </si>
  <si>
    <t>Massachusetts Water Resource Authority (Water and Wastewater)</t>
  </si>
  <si>
    <t>MA</t>
  </si>
  <si>
    <t>PortlandME</t>
  </si>
  <si>
    <t>BridgeportCT</t>
  </si>
  <si>
    <t>City of Bridgeport</t>
  </si>
  <si>
    <t>CT</t>
  </si>
  <si>
    <t>RenoNV</t>
  </si>
  <si>
    <t>BuffaloNY</t>
  </si>
  <si>
    <t>Buffalo Sewer Authority</t>
  </si>
  <si>
    <t>SanDiegoCA</t>
  </si>
  <si>
    <t>SanFranciscoCA</t>
  </si>
  <si>
    <t>BurlingtonVT</t>
  </si>
  <si>
    <t>City of Burlington</t>
  </si>
  <si>
    <t>No natural gas data</t>
  </si>
  <si>
    <t>VT</t>
  </si>
  <si>
    <t>SantaFeNM</t>
  </si>
  <si>
    <t>CharlotteNC</t>
  </si>
  <si>
    <t>Charlotte Water</t>
  </si>
  <si>
    <t>NC</t>
  </si>
  <si>
    <t>SpringfieldMA</t>
  </si>
  <si>
    <t>ChicagoIL</t>
  </si>
  <si>
    <t>Metropolitan Water Reclamation District of Greater Chicago (Wastewater)</t>
  </si>
  <si>
    <t>IL</t>
  </si>
  <si>
    <t>TallahasseeFL</t>
  </si>
  <si>
    <t>TampaFL</t>
  </si>
  <si>
    <t>CincinnatiOH</t>
  </si>
  <si>
    <t>Metropolitan Sewer District of Greater Cincinnati</t>
  </si>
  <si>
    <t>OH</t>
  </si>
  <si>
    <t>WashingtonDC</t>
  </si>
  <si>
    <t>ClevelandOH</t>
  </si>
  <si>
    <t>Northeast Ohio Regional Sewer District (Wastewater)</t>
  </si>
  <si>
    <t>ColoradoSpringsCO</t>
  </si>
  <si>
    <t>Colorado Springs Utilities</t>
  </si>
  <si>
    <t>CO</t>
  </si>
  <si>
    <t>City of Columbus Department of Utilities</t>
  </si>
  <si>
    <t>DallasTX</t>
  </si>
  <si>
    <t>Dallas Water Utility (Water and Wastewater)</t>
  </si>
  <si>
    <t>DaytonOH</t>
  </si>
  <si>
    <t>City of Dayton</t>
  </si>
  <si>
    <t>DenverCO</t>
  </si>
  <si>
    <t>Metro Wastewater Reclamation District</t>
  </si>
  <si>
    <t>DetroitMI</t>
  </si>
  <si>
    <t>Detroit Water and Sewerage Department (Water and Wastewater)</t>
  </si>
  <si>
    <t>MI</t>
  </si>
  <si>
    <t>DuluthMN</t>
  </si>
  <si>
    <t>Western Lake Superior Sanitary District (Wastewater)</t>
  </si>
  <si>
    <t>MN</t>
  </si>
  <si>
    <t>ElPasoTX</t>
  </si>
  <si>
    <t>El Paso Water Utilities</t>
  </si>
  <si>
    <t>EugeneOR</t>
  </si>
  <si>
    <t>City of Eugene Public Works (Wastewater)</t>
  </si>
  <si>
    <t>Chini and Stillwell 2017 reported total electricity consumed, not imported electricity</t>
  </si>
  <si>
    <t>OR</t>
  </si>
  <si>
    <t>FortCollinsCO</t>
  </si>
  <si>
    <t>City of Fort Collins Utilities</t>
  </si>
  <si>
    <t>FortWayneIN</t>
  </si>
  <si>
    <t>City of Fort Wayne Utilities</t>
  </si>
  <si>
    <t>IN</t>
  </si>
  <si>
    <t>FortWorthTX</t>
  </si>
  <si>
    <t>Fort Worth Water Department</t>
  </si>
  <si>
    <t>GreensboroNC</t>
  </si>
  <si>
    <t>City of Greensboro</t>
  </si>
  <si>
    <t>HarrisburgPA</t>
  </si>
  <si>
    <t>Capital Region Water</t>
  </si>
  <si>
    <t>PA</t>
  </si>
  <si>
    <t>HonoluluHI</t>
  </si>
  <si>
    <t>Honolulu Board of Water Supply</t>
  </si>
  <si>
    <t>Only primary treatment for wastewater</t>
  </si>
  <si>
    <t>HI</t>
  </si>
  <si>
    <t>JacksonvilleFL</t>
  </si>
  <si>
    <t>JEA</t>
  </si>
  <si>
    <t>FL</t>
  </si>
  <si>
    <t>KalamazooMI</t>
  </si>
  <si>
    <t>Kalamazoo City</t>
  </si>
  <si>
    <t>LasVegasNV</t>
  </si>
  <si>
    <t>City of Las Vegas (Wastewater)</t>
  </si>
  <si>
    <t>NV</t>
  </si>
  <si>
    <t>LincolnNE</t>
  </si>
  <si>
    <t>City of Lincoln, NE</t>
  </si>
  <si>
    <t>Corrected to be imported electrcity</t>
  </si>
  <si>
    <t>NE</t>
  </si>
  <si>
    <t>LittleRockAR</t>
  </si>
  <si>
    <t>Little Rock Wastewater</t>
  </si>
  <si>
    <t>AR</t>
  </si>
  <si>
    <t>LosAngelesCA</t>
  </si>
  <si>
    <t>LA Department of Water and Power
LA Sanitation Bureau</t>
  </si>
  <si>
    <t>LouisvilleKY</t>
  </si>
  <si>
    <t>Metropolitan Sewer District (Wastewater)</t>
  </si>
  <si>
    <t>KY</t>
  </si>
  <si>
    <t>Madison Sewer and Madison Water Utility</t>
  </si>
  <si>
    <t>WI</t>
  </si>
  <si>
    <t>MemphisTN</t>
  </si>
  <si>
    <t>City of Memphis</t>
  </si>
  <si>
    <t>TN</t>
  </si>
  <si>
    <t>MiamiFL</t>
  </si>
  <si>
    <t>Miami-Dade Water and Sewer Department</t>
  </si>
  <si>
    <t>Milwaukee Metropolitan Sewer District</t>
  </si>
  <si>
    <t>MinneapolisMN</t>
  </si>
  <si>
    <t>Metropolitan Council Environmental Services</t>
  </si>
  <si>
    <t>Minneapolis and St. Paul share a wastewater utility, data are presented here for both cities.</t>
  </si>
  <si>
    <t>NashvilleTN</t>
  </si>
  <si>
    <t>Metro Water Services</t>
  </si>
  <si>
    <t>NewOrleansLA</t>
  </si>
  <si>
    <t xml:space="preserve">New Orleans Sewerage and Water Board	</t>
  </si>
  <si>
    <t>LA</t>
  </si>
  <si>
    <t>NewYorkNY</t>
  </si>
  <si>
    <t>NYC Department of Environmental Protection</t>
  </si>
  <si>
    <t>Passaic Valley Sewerage Commission</t>
  </si>
  <si>
    <t>NJ</t>
  </si>
  <si>
    <t>NorfolkVA</t>
  </si>
  <si>
    <t>Hampton Roads Sanitation District</t>
  </si>
  <si>
    <t>Total treated volume was not given in initial database and number was pulled as daily treated average from Comprehensive Annual Financial Report for the year 2012.</t>
  </si>
  <si>
    <t>OaklandCA</t>
  </si>
  <si>
    <t>East Bay Municipal Utility District</t>
  </si>
  <si>
    <t>Revised to be imported electricity</t>
  </si>
  <si>
    <t>PeoriaIL</t>
  </si>
  <si>
    <t>The Greater Peoria Sanitary and Sewage Disposal District</t>
  </si>
  <si>
    <t>PhiladelphiaPA</t>
  </si>
  <si>
    <t>City of Philadelphia</t>
  </si>
  <si>
    <t>PhoenixAZ</t>
  </si>
  <si>
    <t>City of Phoenix Water Services Department</t>
  </si>
  <si>
    <t>AZ</t>
  </si>
  <si>
    <t>PittsburghPA</t>
  </si>
  <si>
    <t>Alleghany County Sanitary Authority (Wastewater)</t>
  </si>
  <si>
    <t>Portland Water District</t>
  </si>
  <si>
    <t>ME</t>
  </si>
  <si>
    <t>ProvidenceRI</t>
  </si>
  <si>
    <t>Narragansett Bay Commission</t>
  </si>
  <si>
    <t>RI</t>
  </si>
  <si>
    <t>ProvoUT</t>
  </si>
  <si>
    <t>Provo City Water Reclamation</t>
  </si>
  <si>
    <t>UT</t>
  </si>
  <si>
    <t>City of Reno Public Works</t>
  </si>
  <si>
    <t>SacramentoCA</t>
  </si>
  <si>
    <t>Sacramento Area Sewer District</t>
  </si>
  <si>
    <t>SalemOR</t>
  </si>
  <si>
    <t>City of Salem Public Works</t>
  </si>
  <si>
    <t>Utility provided electricity generated, but not therms of biogas. This was not reported in the original Chini and Stillwell 2017 dataset. Backcalculated therms assuming 0.092 kWh per MJ biogas collected. Imported electricity looks incorrect based on utility bills.</t>
  </si>
  <si>
    <t>SanAntonioTX</t>
  </si>
  <si>
    <t>San Antonio Water System</t>
  </si>
  <si>
    <t>City of San Diego</t>
  </si>
  <si>
    <t>San Francisco Public Utilities Commission; San Francisco Water Power Sewer</t>
  </si>
  <si>
    <t>Corrected to just oceanside</t>
  </si>
  <si>
    <t>SanJoseCA</t>
  </si>
  <si>
    <t>City of San Jose Environmental Services Department; San Jose Water Company</t>
  </si>
  <si>
    <t>City of Santa Fe</t>
  </si>
  <si>
    <t>NM</t>
  </si>
  <si>
    <t>SeattleWA</t>
  </si>
  <si>
    <t>King County Wastewater Treatment Division (Wastewater)</t>
  </si>
  <si>
    <t>WA</t>
  </si>
  <si>
    <t>SpokaneWA</t>
  </si>
  <si>
    <t>City of Spokane</t>
  </si>
  <si>
    <t>Springfield Water and Sewer Commission</t>
  </si>
  <si>
    <t>StLouisMO</t>
  </si>
  <si>
    <t>Metropolitan St. Louis Sewer District; City of St. Louis Water Division</t>
  </si>
  <si>
    <t>Biogas reported incorrectly in chini; electricity corrected to remove electricity generated by biogas</t>
  </si>
  <si>
    <t>MO</t>
  </si>
  <si>
    <t>SyracuseNY</t>
  </si>
  <si>
    <t>County of Onandaga</t>
  </si>
  <si>
    <t>TacomaWA</t>
  </si>
  <si>
    <t>City of Tacoma</t>
  </si>
  <si>
    <t>Does not include metrics from NETP; imported electricity consumption reported incorrectly in chini and stillwell 2017</t>
  </si>
  <si>
    <t>City of Tallahassee</t>
  </si>
  <si>
    <t>City of Tampa</t>
  </si>
  <si>
    <t>ToledoOH</t>
  </si>
  <si>
    <t>City of Toledo Department of Public Utilities</t>
  </si>
  <si>
    <t>Corrected biogas values based on 366 days in 2012</t>
  </si>
  <si>
    <t>TucsonAZ</t>
  </si>
  <si>
    <t>Pima County Regional Wastewater Reclamation Department  (Wastewater); City of Tucson</t>
  </si>
  <si>
    <t>Reported incorrectly in chini originally</t>
  </si>
  <si>
    <t>DC Water (Wastewater)</t>
  </si>
  <si>
    <t>DC</t>
  </si>
  <si>
    <t>WichitaKS</t>
  </si>
  <si>
    <t>City of Wichita</t>
  </si>
  <si>
    <t>Some estimation of electricity was made for wastewater treatment based on bill values due to lack of data. Some estimation of April wastewater flows was necessary due to lack of data.</t>
  </si>
  <si>
    <t>KS</t>
  </si>
  <si>
    <t>IndianapolisIN</t>
  </si>
  <si>
    <t>Citizens Energy Group</t>
  </si>
  <si>
    <t>No natural gas reported</t>
  </si>
  <si>
    <t>NorthTexas</t>
  </si>
  <si>
    <t>North Texas MWD</t>
  </si>
  <si>
    <t>Several cities in North Texas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</si>
</sst>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font>
    <font>
      <sz val="10"/>
      <color theme="1"/>
      <name val="Arial"/>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wrapText="1"/>
    </xf>
    <xf numFmtId="3" fontId="1" fillId="0" borderId="0" xfId="0" applyNumberFormat="1" applyFont="1"/>
    <xf numFmtId="0" fontId="3" fillId="0" borderId="0" xfId="0" applyFont="1" applyAlignment="1">
      <alignment horizontal="right"/>
    </xf>
    <xf numFmtId="0" fontId="2" fillId="0" borderId="0" xfId="0" applyFont="1"/>
    <xf numFmtId="3"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calcChain" Target="calcChain.xml"/><Relationship Id="rId17" Type="http://schemas.openxmlformats.org/officeDocument/2006/relationships/sharedStrings" Target="sharedStrings.xml"/><Relationship Id="rId16" Type="http://schemas.openxmlformats.org/officeDocument/2006/relationships/styles" Target="styles.xml"/><Relationship Id="rId1" Type="http://schemas.openxmlformats.org/officeDocument/2006/relationships/worksheet" Target="worksheets/sheet1.xml"/><Relationship Id="rId15" Type="http://schemas.openxmlformats.org/officeDocument/2006/relationships/theme" Target="theme/theme1.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991"/>
  <sheetViews>
    <sheetView tabSelected="1" workbookViewId="0">
      <pane ySplit="1" topLeftCell="A2" activePane="bottomLeft" state="frozen"/>
      <selection pane="bottomLeft" activeCell="C34" sqref="C34"/>
    </sheetView>
  </sheetViews>
  <sheetFormatPr baseColWidth="10" defaultColWidth="12.6640625" defaultRowHeight="15" customHeight="1" x14ac:dyDescent="0.15"/>
  <cols>
    <col min="1" max="1" width="18.1640625" customWidth="1"/>
    <col min="2" max="2" width="28.1640625" customWidth="1"/>
    <col min="3" max="3" width="27.6640625" customWidth="1"/>
    <col min="4" max="6" width="12.6640625" customWidth="1"/>
  </cols>
  <sheetData>
    <row r="1" spans="1:9" ht="15.75" customHeight="1" x14ac:dyDescent="0.15">
      <c r="A1" s="1" t="s">
        <v>0</v>
      </c>
      <c r="B1" s="2" t="s">
        <v>1</v>
      </c>
      <c r="C1" s="2" t="s">
        <v>2</v>
      </c>
      <c r="D1" s="1" t="s">
        <v>3</v>
      </c>
      <c r="E1" s="1" t="s">
        <v>4</v>
      </c>
      <c r="F1" s="1" t="s">
        <v>5</v>
      </c>
      <c r="G1" s="1" t="s">
        <v>7</v>
      </c>
      <c r="H1" s="1" t="s">
        <v>8</v>
      </c>
      <c r="I1" s="1" t="s">
        <v>10</v>
      </c>
    </row>
    <row r="2" spans="1:9" ht="15.75" customHeight="1" x14ac:dyDescent="0.15">
      <c r="A2" s="1" t="s">
        <v>11</v>
      </c>
      <c r="B2" s="2" t="s">
        <v>12</v>
      </c>
      <c r="C2" s="2" t="s">
        <v>13</v>
      </c>
      <c r="D2" s="1" t="s">
        <v>14</v>
      </c>
      <c r="E2" s="1">
        <v>7487.4712499999996</v>
      </c>
      <c r="F2" s="1">
        <v>6684000</v>
      </c>
      <c r="G2" s="1">
        <v>286000</v>
      </c>
      <c r="H2" s="1">
        <v>0</v>
      </c>
      <c r="I2" s="1">
        <v>0</v>
      </c>
    </row>
    <row r="3" spans="1:9" ht="15.75" customHeight="1" x14ac:dyDescent="0.15">
      <c r="A3" s="1" t="s">
        <v>6</v>
      </c>
      <c r="B3" s="2" t="s">
        <v>15</v>
      </c>
      <c r="C3" s="2" t="s">
        <v>16</v>
      </c>
      <c r="D3" s="1" t="s">
        <v>17</v>
      </c>
      <c r="E3" s="1">
        <v>12180.388000000001</v>
      </c>
      <c r="F3" s="1">
        <v>32171858.280000001</v>
      </c>
      <c r="G3" s="1">
        <v>514570</v>
      </c>
      <c r="H3" s="1">
        <v>0</v>
      </c>
      <c r="I3" s="1">
        <v>841746.93</v>
      </c>
    </row>
    <row r="4" spans="1:9" ht="15.75" customHeight="1" x14ac:dyDescent="0.15">
      <c r="A4" s="1" t="s">
        <v>18</v>
      </c>
      <c r="B4" s="2" t="s">
        <v>19</v>
      </c>
      <c r="C4" s="2" t="s">
        <v>20</v>
      </c>
      <c r="D4" s="1" t="s">
        <v>22</v>
      </c>
      <c r="E4" s="1">
        <v>6243</v>
      </c>
      <c r="F4" s="1">
        <v>10388651</v>
      </c>
      <c r="G4" s="1">
        <v>0</v>
      </c>
      <c r="H4" s="1">
        <v>0</v>
      </c>
      <c r="I4" s="1">
        <v>0</v>
      </c>
    </row>
    <row r="5" spans="1:9" ht="15.75" customHeight="1" x14ac:dyDescent="0.15">
      <c r="A5" s="1" t="s">
        <v>23</v>
      </c>
      <c r="B5" s="2" t="s">
        <v>24</v>
      </c>
      <c r="C5" s="2"/>
      <c r="D5" s="1" t="s">
        <v>25</v>
      </c>
      <c r="E5" s="1">
        <v>10819.439</v>
      </c>
      <c r="F5" s="1">
        <v>6400604</v>
      </c>
      <c r="G5" s="1">
        <v>642257.53500000003</v>
      </c>
      <c r="H5" s="1">
        <v>0</v>
      </c>
      <c r="I5" s="1">
        <v>0</v>
      </c>
    </row>
    <row r="6" spans="1:9" ht="15.75" customHeight="1" x14ac:dyDescent="0.15">
      <c r="A6" s="1" t="s">
        <v>26</v>
      </c>
      <c r="B6" s="2" t="s">
        <v>27</v>
      </c>
      <c r="C6" s="2"/>
      <c r="D6" s="1" t="s">
        <v>28</v>
      </c>
      <c r="E6" s="1">
        <v>11821.78</v>
      </c>
      <c r="F6" s="1">
        <v>22970693</v>
      </c>
      <c r="G6" s="1">
        <v>95952</v>
      </c>
      <c r="H6" s="1">
        <v>0</v>
      </c>
      <c r="I6" s="1">
        <v>0</v>
      </c>
    </row>
    <row r="7" spans="1:9" ht="15.75" customHeight="1" x14ac:dyDescent="0.15">
      <c r="A7" s="1" t="s">
        <v>9</v>
      </c>
      <c r="B7" s="2" t="s">
        <v>29</v>
      </c>
      <c r="C7" s="2"/>
      <c r="D7" s="1" t="s">
        <v>22</v>
      </c>
      <c r="E7" s="1">
        <v>37562.883999999998</v>
      </c>
      <c r="F7" s="1">
        <v>63911960</v>
      </c>
      <c r="G7" s="1">
        <v>0</v>
      </c>
      <c r="H7" s="1">
        <v>0</v>
      </c>
      <c r="I7" s="1">
        <v>0</v>
      </c>
    </row>
    <row r="8" spans="1:9" ht="15.75" customHeight="1" x14ac:dyDescent="0.15">
      <c r="A8" s="1" t="s">
        <v>30</v>
      </c>
      <c r="B8" s="2" t="s">
        <v>31</v>
      </c>
      <c r="C8" s="2" t="s">
        <v>32</v>
      </c>
      <c r="D8" s="1" t="s">
        <v>33</v>
      </c>
      <c r="E8" s="1">
        <v>11390.974319999999</v>
      </c>
      <c r="F8" s="1">
        <v>15501420</v>
      </c>
      <c r="G8" s="1">
        <v>166665</v>
      </c>
      <c r="H8" s="1">
        <v>0</v>
      </c>
      <c r="I8" s="1">
        <v>363919.9</v>
      </c>
    </row>
    <row r="9" spans="1:9" ht="15.75" customHeight="1" x14ac:dyDescent="0.15">
      <c r="A9" s="1" t="s">
        <v>34</v>
      </c>
      <c r="B9" s="2" t="s">
        <v>35</v>
      </c>
      <c r="C9" s="2"/>
      <c r="D9" s="1" t="s">
        <v>36</v>
      </c>
      <c r="E9" s="1">
        <v>68515</v>
      </c>
      <c r="F9" s="1">
        <v>105697865</v>
      </c>
      <c r="G9" s="1">
        <v>94316.37</v>
      </c>
      <c r="H9" s="1">
        <v>0</v>
      </c>
      <c r="I9" s="1">
        <v>24529576</v>
      </c>
    </row>
    <row r="10" spans="1:9" ht="15.75" customHeight="1" x14ac:dyDescent="0.15">
      <c r="A10" s="1" t="s">
        <v>37</v>
      </c>
      <c r="B10" s="2" t="s">
        <v>38</v>
      </c>
      <c r="C10" s="2"/>
      <c r="D10" s="1" t="s">
        <v>22</v>
      </c>
      <c r="E10" s="1">
        <v>7893.25</v>
      </c>
      <c r="F10" s="1">
        <v>6687482</v>
      </c>
      <c r="G10" s="1">
        <v>0</v>
      </c>
      <c r="H10" s="1">
        <v>0</v>
      </c>
      <c r="I10" s="1">
        <v>0</v>
      </c>
    </row>
    <row r="11" spans="1:9" ht="15.75" customHeight="1" x14ac:dyDescent="0.15">
      <c r="A11" s="1" t="s">
        <v>40</v>
      </c>
      <c r="B11" s="2" t="s">
        <v>41</v>
      </c>
      <c r="C11" s="2"/>
      <c r="D11" s="1" t="s">
        <v>44</v>
      </c>
      <c r="E11" s="1">
        <v>5072</v>
      </c>
      <c r="F11" s="1">
        <v>7731023</v>
      </c>
      <c r="G11" s="1">
        <v>14108</v>
      </c>
      <c r="H11" s="1">
        <v>0</v>
      </c>
      <c r="I11" s="1">
        <v>0</v>
      </c>
    </row>
    <row r="12" spans="1:9" ht="15.75" customHeight="1" x14ac:dyDescent="0.15">
      <c r="A12" s="1" t="s">
        <v>45</v>
      </c>
      <c r="B12" s="2" t="s">
        <v>46</v>
      </c>
      <c r="C12" s="2"/>
      <c r="D12" s="1" t="s">
        <v>47</v>
      </c>
      <c r="E12" s="1">
        <v>106794</v>
      </c>
      <c r="F12" s="1">
        <v>128932724</v>
      </c>
      <c r="G12" s="1">
        <v>93038</v>
      </c>
      <c r="H12" s="1">
        <v>365589</v>
      </c>
      <c r="I12" s="1">
        <v>0</v>
      </c>
    </row>
    <row r="13" spans="1:9" ht="15.75" customHeight="1" x14ac:dyDescent="0.15">
      <c r="A13" s="1" t="s">
        <v>49</v>
      </c>
      <c r="B13" s="2" t="s">
        <v>50</v>
      </c>
      <c r="C13" s="2"/>
      <c r="D13" s="1" t="s">
        <v>51</v>
      </c>
      <c r="E13" s="1">
        <v>10961.8</v>
      </c>
      <c r="F13" s="1">
        <v>16821000</v>
      </c>
      <c r="G13" s="1">
        <v>108747</v>
      </c>
      <c r="H13" s="1">
        <v>0</v>
      </c>
      <c r="I13" s="1">
        <v>0</v>
      </c>
    </row>
    <row r="14" spans="1:9" ht="15.75" customHeight="1" x14ac:dyDescent="0.15">
      <c r="A14" s="1" t="s">
        <v>53</v>
      </c>
      <c r="B14" s="2" t="s">
        <v>54</v>
      </c>
      <c r="C14" s="2"/>
      <c r="D14" s="1" t="s">
        <v>14</v>
      </c>
      <c r="E14" s="1">
        <v>41314</v>
      </c>
      <c r="F14" s="1">
        <v>56110868</v>
      </c>
      <c r="G14" s="1">
        <v>1692810</v>
      </c>
      <c r="H14" s="1">
        <v>0</v>
      </c>
      <c r="I14" s="1">
        <v>1062219</v>
      </c>
    </row>
    <row r="15" spans="1:9" ht="15.75" customHeight="1" x14ac:dyDescent="0.15">
      <c r="A15" s="1" t="s">
        <v>57</v>
      </c>
      <c r="B15" s="2" t="s">
        <v>58</v>
      </c>
      <c r="C15" s="2" t="s">
        <v>59</v>
      </c>
      <c r="D15" s="1" t="s">
        <v>60</v>
      </c>
      <c r="E15" s="1">
        <v>1374.04</v>
      </c>
      <c r="F15" s="1">
        <v>1631128</v>
      </c>
      <c r="G15" s="1">
        <v>0</v>
      </c>
      <c r="H15" s="1">
        <v>0</v>
      </c>
      <c r="I15" s="1">
        <v>0</v>
      </c>
    </row>
    <row r="16" spans="1:9" ht="15.75" customHeight="1" x14ac:dyDescent="0.15">
      <c r="A16" s="1" t="s">
        <v>62</v>
      </c>
      <c r="B16" s="2" t="s">
        <v>63</v>
      </c>
      <c r="C16" s="2"/>
      <c r="D16" s="1" t="s">
        <v>64</v>
      </c>
      <c r="E16" s="1">
        <v>28548</v>
      </c>
      <c r="F16" s="1">
        <v>95439533</v>
      </c>
      <c r="G16" s="1">
        <v>0</v>
      </c>
      <c r="H16" s="1">
        <v>0</v>
      </c>
      <c r="I16" s="1">
        <v>0</v>
      </c>
    </row>
    <row r="17" spans="1:9" ht="15.75" customHeight="1" x14ac:dyDescent="0.15">
      <c r="A17" s="1" t="s">
        <v>66</v>
      </c>
      <c r="B17" s="2" t="s">
        <v>67</v>
      </c>
      <c r="C17" s="2"/>
      <c r="D17" s="1" t="s">
        <v>68</v>
      </c>
      <c r="E17" s="1">
        <v>393294</v>
      </c>
      <c r="F17" s="1">
        <v>446756585</v>
      </c>
      <c r="G17" s="1">
        <v>1245632</v>
      </c>
      <c r="H17" s="1">
        <v>0</v>
      </c>
      <c r="I17" s="1">
        <v>1662078</v>
      </c>
    </row>
    <row r="18" spans="1:9" ht="15.75" customHeight="1" x14ac:dyDescent="0.15">
      <c r="A18" s="1" t="s">
        <v>71</v>
      </c>
      <c r="B18" s="2" t="s">
        <v>72</v>
      </c>
      <c r="C18" s="2"/>
      <c r="D18" s="1" t="s">
        <v>73</v>
      </c>
      <c r="E18" s="1">
        <v>37368</v>
      </c>
      <c r="F18" s="1">
        <v>66671047</v>
      </c>
      <c r="G18" s="1">
        <v>1538810</v>
      </c>
      <c r="H18" s="1">
        <v>0</v>
      </c>
      <c r="I18" s="1">
        <v>0</v>
      </c>
    </row>
    <row r="19" spans="1:9" ht="15.75" customHeight="1" x14ac:dyDescent="0.15">
      <c r="A19" s="1" t="s">
        <v>75</v>
      </c>
      <c r="B19" s="2" t="s">
        <v>76</v>
      </c>
      <c r="C19" s="2"/>
      <c r="D19" s="1" t="s">
        <v>73</v>
      </c>
      <c r="E19" s="1">
        <v>79048</v>
      </c>
      <c r="F19" s="1">
        <v>135627499</v>
      </c>
      <c r="G19" s="1">
        <v>12632184</v>
      </c>
      <c r="H19" s="1">
        <v>0</v>
      </c>
      <c r="I19" s="1">
        <v>0</v>
      </c>
    </row>
    <row r="20" spans="1:9" ht="15.75" customHeight="1" x14ac:dyDescent="0.15">
      <c r="A20" s="1" t="s">
        <v>77</v>
      </c>
      <c r="B20" s="2" t="s">
        <v>78</v>
      </c>
      <c r="C20" s="2"/>
      <c r="D20" s="1" t="s">
        <v>79</v>
      </c>
      <c r="E20" s="1">
        <v>12057</v>
      </c>
      <c r="F20" s="1">
        <v>29033697</v>
      </c>
      <c r="G20" s="1">
        <v>0</v>
      </c>
      <c r="H20" s="1">
        <v>0</v>
      </c>
      <c r="I20" s="1">
        <v>0</v>
      </c>
    </row>
    <row r="21" spans="1:9" ht="15.75" customHeight="1" x14ac:dyDescent="0.15">
      <c r="A21" s="1" t="s">
        <v>21</v>
      </c>
      <c r="B21" s="2" t="s">
        <v>80</v>
      </c>
      <c r="C21" s="2"/>
      <c r="D21" s="1" t="s">
        <v>73</v>
      </c>
      <c r="E21" s="1">
        <v>56130</v>
      </c>
      <c r="F21" s="1">
        <v>100545852</v>
      </c>
      <c r="G21" s="1">
        <v>1709125</v>
      </c>
      <c r="H21" s="1">
        <v>0</v>
      </c>
      <c r="I21" s="1">
        <v>0</v>
      </c>
    </row>
    <row r="22" spans="1:9" ht="15.75" customHeight="1" x14ac:dyDescent="0.15">
      <c r="A22" s="1" t="s">
        <v>81</v>
      </c>
      <c r="B22" s="2" t="s">
        <v>82</v>
      </c>
      <c r="C22" s="2"/>
      <c r="D22" s="1" t="s">
        <v>22</v>
      </c>
      <c r="E22" s="1">
        <v>30474</v>
      </c>
      <c r="F22" s="1">
        <v>53311241</v>
      </c>
      <c r="G22" s="1">
        <v>0</v>
      </c>
      <c r="H22" s="1">
        <v>0</v>
      </c>
      <c r="I22" s="1">
        <v>0</v>
      </c>
    </row>
    <row r="23" spans="1:9" ht="15.75" customHeight="1" x14ac:dyDescent="0.15">
      <c r="A23" s="1" t="s">
        <v>83</v>
      </c>
      <c r="B23" s="2" t="s">
        <v>84</v>
      </c>
      <c r="C23" s="2"/>
      <c r="D23" s="1" t="s">
        <v>73</v>
      </c>
      <c r="E23" s="1">
        <v>14479.157999999999</v>
      </c>
      <c r="F23" s="1">
        <v>31584108</v>
      </c>
      <c r="G23" s="1">
        <v>41433</v>
      </c>
      <c r="H23" s="1">
        <v>0</v>
      </c>
      <c r="I23" s="1">
        <v>0</v>
      </c>
    </row>
    <row r="24" spans="1:9" ht="15.75" customHeight="1" x14ac:dyDescent="0.15">
      <c r="A24" s="1" t="s">
        <v>85</v>
      </c>
      <c r="B24" s="2" t="s">
        <v>86</v>
      </c>
      <c r="C24" s="2"/>
      <c r="D24" s="1" t="s">
        <v>79</v>
      </c>
      <c r="E24" s="1">
        <v>45636</v>
      </c>
      <c r="F24" s="1">
        <v>83947883.450000003</v>
      </c>
      <c r="G24" s="1">
        <v>495970</v>
      </c>
      <c r="H24" s="1">
        <v>0</v>
      </c>
      <c r="I24" s="1">
        <v>6171819</v>
      </c>
    </row>
    <row r="25" spans="1:9" ht="15.75" customHeight="1" x14ac:dyDescent="0.15">
      <c r="A25" s="1" t="s">
        <v>87</v>
      </c>
      <c r="B25" s="2" t="s">
        <v>88</v>
      </c>
      <c r="C25" s="2"/>
      <c r="D25" s="1" t="s">
        <v>89</v>
      </c>
      <c r="E25" s="1">
        <v>213579</v>
      </c>
      <c r="F25" s="1">
        <v>182551487</v>
      </c>
      <c r="G25" s="1">
        <v>16591555.439999999</v>
      </c>
      <c r="H25" s="1">
        <v>0</v>
      </c>
      <c r="I25" s="1">
        <v>0</v>
      </c>
    </row>
    <row r="26" spans="1:9" ht="15.75" customHeight="1" x14ac:dyDescent="0.15">
      <c r="A26" s="1" t="s">
        <v>90</v>
      </c>
      <c r="B26" s="2" t="s">
        <v>91</v>
      </c>
      <c r="C26" s="2"/>
      <c r="D26" s="1" t="s">
        <v>92</v>
      </c>
      <c r="E26" s="1">
        <v>13070</v>
      </c>
      <c r="F26" s="3">
        <v>28884476.920000002</v>
      </c>
      <c r="G26" s="1">
        <v>296564</v>
      </c>
      <c r="H26" s="1">
        <v>0</v>
      </c>
      <c r="I26" s="1">
        <v>1258609</v>
      </c>
    </row>
    <row r="27" spans="1:9" ht="15.75" customHeight="1" x14ac:dyDescent="0.15">
      <c r="A27" s="1" t="s">
        <v>93</v>
      </c>
      <c r="B27" s="2" t="s">
        <v>94</v>
      </c>
      <c r="C27" s="2"/>
      <c r="D27" s="1" t="s">
        <v>22</v>
      </c>
      <c r="E27" s="1">
        <v>22543</v>
      </c>
      <c r="F27" s="1">
        <v>63293347</v>
      </c>
      <c r="G27" s="1">
        <v>815521</v>
      </c>
      <c r="H27" s="1">
        <v>0</v>
      </c>
      <c r="I27" s="1">
        <v>1401414</v>
      </c>
    </row>
    <row r="28" spans="1:9" ht="15.75" customHeight="1" x14ac:dyDescent="0.15">
      <c r="A28" s="1" t="s">
        <v>95</v>
      </c>
      <c r="B28" s="2" t="s">
        <v>96</v>
      </c>
      <c r="C28" s="2" t="s">
        <v>97</v>
      </c>
      <c r="D28" s="1" t="s">
        <v>98</v>
      </c>
      <c r="E28" s="1">
        <v>15201</v>
      </c>
      <c r="F28" s="1">
        <v>278757.43900000001</v>
      </c>
      <c r="G28" s="1">
        <v>0</v>
      </c>
      <c r="H28" s="1">
        <v>0</v>
      </c>
      <c r="I28" s="1">
        <v>971492.08550000004</v>
      </c>
    </row>
    <row r="29" spans="1:9" ht="15.75" customHeight="1" x14ac:dyDescent="0.15">
      <c r="A29" s="1" t="s">
        <v>99</v>
      </c>
      <c r="B29" s="2" t="s">
        <v>100</v>
      </c>
      <c r="C29" s="2"/>
      <c r="D29" s="1" t="s">
        <v>79</v>
      </c>
      <c r="E29" s="1">
        <v>4679.4671879999996</v>
      </c>
      <c r="F29" s="1">
        <v>10147200</v>
      </c>
      <c r="G29" s="1">
        <v>121032</v>
      </c>
      <c r="H29" s="1">
        <v>0</v>
      </c>
      <c r="I29" s="1">
        <v>0</v>
      </c>
    </row>
    <row r="30" spans="1:9" ht="15.75" customHeight="1" x14ac:dyDescent="0.15">
      <c r="A30" s="1" t="s">
        <v>101</v>
      </c>
      <c r="B30" s="2" t="s">
        <v>102</v>
      </c>
      <c r="C30" s="2"/>
      <c r="D30" s="1" t="s">
        <v>103</v>
      </c>
      <c r="E30" s="1">
        <v>14960.198</v>
      </c>
      <c r="F30" s="1">
        <v>18501600</v>
      </c>
      <c r="G30" s="1">
        <v>156646.70000000001</v>
      </c>
      <c r="H30" s="1">
        <v>0</v>
      </c>
      <c r="I30" s="1">
        <v>0</v>
      </c>
    </row>
    <row r="31" spans="1:9" ht="15.75" customHeight="1" x14ac:dyDescent="0.15">
      <c r="A31" s="1" t="s">
        <v>104</v>
      </c>
      <c r="B31" s="2" t="s">
        <v>105</v>
      </c>
      <c r="C31" s="2"/>
      <c r="D31" s="1" t="s">
        <v>22</v>
      </c>
      <c r="E31" s="1">
        <v>39473.992030000001</v>
      </c>
      <c r="F31" s="1">
        <v>66906902.450000003</v>
      </c>
      <c r="G31" s="1">
        <v>128389.86</v>
      </c>
      <c r="H31" s="1">
        <v>0</v>
      </c>
      <c r="I31" s="1">
        <v>1738362.75</v>
      </c>
    </row>
    <row r="32" spans="1:9" ht="15.75" customHeight="1" x14ac:dyDescent="0.15">
      <c r="A32" s="1" t="s">
        <v>106</v>
      </c>
      <c r="B32" s="2" t="s">
        <v>107</v>
      </c>
      <c r="C32" s="2"/>
      <c r="D32" s="1" t="s">
        <v>64</v>
      </c>
      <c r="E32" s="1">
        <v>7178.42</v>
      </c>
      <c r="F32" s="1">
        <v>44812972</v>
      </c>
      <c r="G32" s="1">
        <v>89713</v>
      </c>
      <c r="H32" s="1">
        <v>0</v>
      </c>
      <c r="I32" s="1">
        <v>0</v>
      </c>
    </row>
    <row r="33" spans="1:9" ht="15.75" customHeight="1" x14ac:dyDescent="0.15">
      <c r="A33" s="1" t="s">
        <v>108</v>
      </c>
      <c r="B33" s="2" t="s">
        <v>109</v>
      </c>
      <c r="C33" s="2"/>
      <c r="D33" s="1" t="s">
        <v>110</v>
      </c>
      <c r="E33" s="1">
        <v>8197.2000000000007</v>
      </c>
      <c r="F33" s="1">
        <v>13780320</v>
      </c>
      <c r="G33" s="1">
        <v>31400.1</v>
      </c>
      <c r="H33" s="1">
        <v>8497</v>
      </c>
      <c r="I33" s="1">
        <v>328366.84299999999</v>
      </c>
    </row>
    <row r="34" spans="1:9" ht="15.75" customHeight="1" x14ac:dyDescent="0.15">
      <c r="A34" s="1" t="s">
        <v>111</v>
      </c>
      <c r="B34" s="2" t="s">
        <v>112</v>
      </c>
      <c r="C34" s="2" t="s">
        <v>113</v>
      </c>
      <c r="D34" s="1" t="s">
        <v>114</v>
      </c>
      <c r="E34" s="1">
        <v>9148.5159999999996</v>
      </c>
      <c r="F34" s="1">
        <v>11731200</v>
      </c>
      <c r="G34" s="1">
        <v>0</v>
      </c>
      <c r="H34" s="1">
        <v>0</v>
      </c>
      <c r="I34" s="1">
        <v>74995.61</v>
      </c>
    </row>
    <row r="35" spans="1:9" ht="15.75" customHeight="1" x14ac:dyDescent="0.15">
      <c r="A35" s="1" t="s">
        <v>115</v>
      </c>
      <c r="B35" s="2" t="s">
        <v>116</v>
      </c>
      <c r="C35" s="2"/>
      <c r="D35" s="1" t="s">
        <v>117</v>
      </c>
      <c r="E35" s="1">
        <v>163700.17800000001</v>
      </c>
      <c r="F35" s="1">
        <v>277955096</v>
      </c>
      <c r="G35" s="1">
        <v>0</v>
      </c>
      <c r="H35" s="1">
        <v>0</v>
      </c>
      <c r="I35" s="1">
        <v>0</v>
      </c>
    </row>
    <row r="36" spans="1:9" ht="15.75" customHeight="1" x14ac:dyDescent="0.15">
      <c r="A36" s="1" t="s">
        <v>118</v>
      </c>
      <c r="B36" s="2" t="s">
        <v>119</v>
      </c>
      <c r="C36" s="2"/>
      <c r="D36" s="1" t="s">
        <v>89</v>
      </c>
      <c r="E36" s="1">
        <v>9051.9500000000007</v>
      </c>
      <c r="F36" s="1">
        <v>22816000</v>
      </c>
      <c r="G36" s="1">
        <v>12730</v>
      </c>
      <c r="H36" s="1">
        <v>0</v>
      </c>
      <c r="I36" s="1">
        <v>0</v>
      </c>
    </row>
    <row r="37" spans="1:9" ht="15.75" customHeight="1" x14ac:dyDescent="0.15">
      <c r="A37" s="1" t="s">
        <v>120</v>
      </c>
      <c r="B37" s="2" t="s">
        <v>121</v>
      </c>
      <c r="C37" s="2"/>
      <c r="D37" s="1" t="s">
        <v>122</v>
      </c>
      <c r="E37" s="1">
        <v>14426.1</v>
      </c>
      <c r="F37" s="1">
        <v>35632553.600000001</v>
      </c>
      <c r="G37" s="1">
        <v>77811</v>
      </c>
      <c r="H37" s="1">
        <v>0</v>
      </c>
      <c r="I37" s="1">
        <v>1443985.7169999999</v>
      </c>
    </row>
    <row r="38" spans="1:9" ht="15.75" customHeight="1" x14ac:dyDescent="0.15">
      <c r="A38" s="1" t="s">
        <v>123</v>
      </c>
      <c r="B38" s="2" t="s">
        <v>124</v>
      </c>
      <c r="C38" s="2" t="s">
        <v>125</v>
      </c>
      <c r="D38" s="1" t="s">
        <v>126</v>
      </c>
      <c r="E38" s="1">
        <v>9680.2449379999998</v>
      </c>
      <c r="F38" s="1">
        <f>15419746.5-5611341</f>
        <v>9808405.5</v>
      </c>
      <c r="G38" s="1">
        <v>118651.23</v>
      </c>
      <c r="H38" s="1">
        <v>0</v>
      </c>
      <c r="I38" s="1">
        <v>882437.59539999999</v>
      </c>
    </row>
    <row r="39" spans="1:9" ht="15.75" customHeight="1" x14ac:dyDescent="0.15">
      <c r="A39" s="1" t="s">
        <v>127</v>
      </c>
      <c r="B39" s="2" t="s">
        <v>128</v>
      </c>
      <c r="C39" s="2"/>
      <c r="D39" s="1" t="s">
        <v>129</v>
      </c>
      <c r="E39" s="1">
        <v>11360.64</v>
      </c>
      <c r="F39" s="1">
        <v>9831</v>
      </c>
      <c r="G39" s="3">
        <v>94630</v>
      </c>
      <c r="H39" s="1">
        <v>0</v>
      </c>
      <c r="I39" s="1">
        <v>669064.5</v>
      </c>
    </row>
    <row r="40" spans="1:9" ht="15.75" customHeight="1" x14ac:dyDescent="0.15">
      <c r="A40" s="1" t="s">
        <v>130</v>
      </c>
      <c r="B40" s="2" t="s">
        <v>131</v>
      </c>
      <c r="C40" s="2"/>
      <c r="D40" s="1" t="s">
        <v>33</v>
      </c>
      <c r="E40" s="1">
        <v>128832</v>
      </c>
      <c r="F40" s="1">
        <v>218571491</v>
      </c>
      <c r="G40" s="1">
        <v>0</v>
      </c>
      <c r="H40" s="1">
        <v>0</v>
      </c>
      <c r="I40" s="1">
        <v>0</v>
      </c>
    </row>
    <row r="41" spans="1:9" ht="15.75" customHeight="1" x14ac:dyDescent="0.15">
      <c r="A41" s="1" t="s">
        <v>132</v>
      </c>
      <c r="B41" s="2" t="s">
        <v>133</v>
      </c>
      <c r="C41" s="2"/>
      <c r="D41" s="1" t="s">
        <v>134</v>
      </c>
      <c r="E41" s="1">
        <v>48670.572999999997</v>
      </c>
      <c r="F41" s="1">
        <v>99792000</v>
      </c>
      <c r="G41" s="1">
        <v>111580</v>
      </c>
      <c r="H41" s="1">
        <v>0</v>
      </c>
      <c r="I41" s="1">
        <v>0</v>
      </c>
    </row>
    <row r="42" spans="1:9" ht="15.75" customHeight="1" x14ac:dyDescent="0.15">
      <c r="A42" s="1" t="s">
        <v>39</v>
      </c>
      <c r="B42" s="2" t="s">
        <v>135</v>
      </c>
      <c r="C42" s="2"/>
      <c r="D42" s="1" t="s">
        <v>136</v>
      </c>
      <c r="E42" s="1">
        <v>13420.477150000001</v>
      </c>
      <c r="F42" s="1">
        <v>27609558</v>
      </c>
      <c r="G42" s="1">
        <v>144841</v>
      </c>
      <c r="H42" s="1">
        <v>0</v>
      </c>
      <c r="I42" s="1">
        <v>2021322.743</v>
      </c>
    </row>
    <row r="43" spans="1:9" ht="15.75" customHeight="1" x14ac:dyDescent="0.15">
      <c r="A43" s="1" t="s">
        <v>137</v>
      </c>
      <c r="B43" s="2" t="s">
        <v>138</v>
      </c>
      <c r="C43" s="2"/>
      <c r="D43" s="1" t="s">
        <v>139</v>
      </c>
      <c r="E43" s="1">
        <v>53700.1</v>
      </c>
      <c r="F43" s="1">
        <v>120910247</v>
      </c>
      <c r="G43" s="1">
        <v>0</v>
      </c>
      <c r="H43" s="1">
        <v>0</v>
      </c>
      <c r="I43" s="1">
        <v>8685180</v>
      </c>
    </row>
    <row r="44" spans="1:9" ht="15.75" customHeight="1" x14ac:dyDescent="0.15">
      <c r="A44" s="1" t="s">
        <v>140</v>
      </c>
      <c r="B44" s="2" t="s">
        <v>141</v>
      </c>
      <c r="C44" s="2"/>
      <c r="D44" s="1" t="s">
        <v>117</v>
      </c>
      <c r="E44" s="1">
        <v>121627</v>
      </c>
      <c r="F44" s="1">
        <v>120707600</v>
      </c>
      <c r="G44" s="1">
        <v>0</v>
      </c>
      <c r="H44" s="1">
        <v>0</v>
      </c>
      <c r="I44" s="1">
        <v>0</v>
      </c>
    </row>
    <row r="45" spans="1:9" ht="15.75" customHeight="1" x14ac:dyDescent="0.15">
      <c r="A45" s="1" t="s">
        <v>42</v>
      </c>
      <c r="B45" s="2" t="s">
        <v>142</v>
      </c>
      <c r="C45" s="2"/>
      <c r="D45" s="1" t="s">
        <v>136</v>
      </c>
      <c r="E45" s="1">
        <v>57285</v>
      </c>
      <c r="F45" s="1">
        <v>81131922</v>
      </c>
      <c r="G45" s="1">
        <v>15376699</v>
      </c>
      <c r="H45" s="1">
        <v>0</v>
      </c>
      <c r="I45" s="1">
        <v>1280093.085</v>
      </c>
    </row>
    <row r="46" spans="1:9" ht="15.75" customHeight="1" x14ac:dyDescent="0.15">
      <c r="A46" s="1" t="s">
        <v>143</v>
      </c>
      <c r="B46" s="2" t="s">
        <v>144</v>
      </c>
      <c r="C46" s="2" t="s">
        <v>145</v>
      </c>
      <c r="D46" s="1" t="s">
        <v>92</v>
      </c>
      <c r="E46" s="1">
        <v>84929.87</v>
      </c>
      <c r="F46" s="1">
        <v>177054816</v>
      </c>
      <c r="G46" s="1">
        <v>2733935</v>
      </c>
      <c r="H46" s="1">
        <v>0</v>
      </c>
      <c r="I46" s="1">
        <v>0</v>
      </c>
    </row>
    <row r="47" spans="1:9" ht="15.75" customHeight="1" x14ac:dyDescent="0.15">
      <c r="A47" s="1" t="s">
        <v>146</v>
      </c>
      <c r="B47" s="2" t="s">
        <v>147</v>
      </c>
      <c r="C47" s="2"/>
      <c r="D47" s="1" t="s">
        <v>139</v>
      </c>
      <c r="E47" s="1">
        <v>54187.031999999999</v>
      </c>
      <c r="F47" s="1">
        <v>105683558</v>
      </c>
      <c r="G47" s="1">
        <v>2058747</v>
      </c>
      <c r="H47" s="1">
        <v>0</v>
      </c>
      <c r="I47" s="1">
        <v>764700.19180000003</v>
      </c>
    </row>
    <row r="48" spans="1:9" ht="15.75" customHeight="1" x14ac:dyDescent="0.15">
      <c r="A48" s="1" t="s">
        <v>148</v>
      </c>
      <c r="B48" s="2" t="s">
        <v>149</v>
      </c>
      <c r="C48" s="1"/>
      <c r="D48" s="1" t="s">
        <v>150</v>
      </c>
      <c r="E48" s="1">
        <v>37230.586000000003</v>
      </c>
      <c r="F48" s="1">
        <v>30842145</v>
      </c>
      <c r="G48" s="1">
        <v>0</v>
      </c>
      <c r="H48" s="1">
        <v>0</v>
      </c>
      <c r="I48" s="1">
        <v>0</v>
      </c>
    </row>
    <row r="49" spans="1:9" ht="15.75" customHeight="1" x14ac:dyDescent="0.15">
      <c r="A49" s="1" t="s">
        <v>151</v>
      </c>
      <c r="B49" s="2" t="s">
        <v>152</v>
      </c>
      <c r="C49" s="2"/>
      <c r="D49" s="1" t="s">
        <v>14</v>
      </c>
      <c r="E49" s="1">
        <v>450990.1</v>
      </c>
      <c r="F49" s="1">
        <v>612015780</v>
      </c>
      <c r="G49" s="1">
        <v>4991379.7010000004</v>
      </c>
      <c r="H49" s="1">
        <v>4411820.0970000001</v>
      </c>
      <c r="I49" s="1">
        <v>7214910.1560000004</v>
      </c>
    </row>
    <row r="50" spans="1:9" ht="15.75" customHeight="1" x14ac:dyDescent="0.15">
      <c r="A50" s="1" t="s">
        <v>43</v>
      </c>
      <c r="B50" s="2" t="s">
        <v>153</v>
      </c>
      <c r="C50" s="2"/>
      <c r="D50" s="1" t="s">
        <v>154</v>
      </c>
      <c r="E50" s="1">
        <v>81530</v>
      </c>
      <c r="F50" s="1">
        <v>170894751.30000001</v>
      </c>
      <c r="G50" s="1">
        <v>41345.336000000003</v>
      </c>
      <c r="H50" s="1">
        <v>0</v>
      </c>
      <c r="I50" s="1">
        <v>0</v>
      </c>
    </row>
    <row r="51" spans="1:9" ht="15.75" customHeight="1" x14ac:dyDescent="0.15">
      <c r="A51" s="1" t="s">
        <v>155</v>
      </c>
      <c r="B51" s="2" t="s">
        <v>156</v>
      </c>
      <c r="C51" s="2" t="s">
        <v>157</v>
      </c>
      <c r="D51" s="1" t="s">
        <v>17</v>
      </c>
      <c r="E51" s="1">
        <v>53802</v>
      </c>
      <c r="F51" s="1">
        <v>127245040</v>
      </c>
      <c r="G51" s="1">
        <v>1268658</v>
      </c>
      <c r="H51" s="1">
        <v>0</v>
      </c>
      <c r="I51" s="1">
        <v>0</v>
      </c>
    </row>
    <row r="52" spans="1:9" ht="15.75" customHeight="1" x14ac:dyDescent="0.15">
      <c r="A52" s="1" t="s">
        <v>158</v>
      </c>
      <c r="B52" s="2" t="s">
        <v>159</v>
      </c>
      <c r="C52" s="2" t="s">
        <v>160</v>
      </c>
      <c r="D52" s="1" t="s">
        <v>33</v>
      </c>
      <c r="E52" s="1">
        <v>25594.144950000002</v>
      </c>
      <c r="F52" s="1">
        <f>6770.9286*1000</f>
        <v>6770928.6000000006</v>
      </c>
      <c r="G52" s="1">
        <v>0</v>
      </c>
      <c r="H52" s="1">
        <v>0</v>
      </c>
      <c r="I52" s="1">
        <v>6540562.3059999999</v>
      </c>
    </row>
    <row r="53" spans="1:9" ht="15.75" customHeight="1" x14ac:dyDescent="0.15">
      <c r="A53" s="1" t="s">
        <v>161</v>
      </c>
      <c r="B53" s="2" t="s">
        <v>162</v>
      </c>
      <c r="C53" s="2"/>
      <c r="D53" s="1" t="s">
        <v>68</v>
      </c>
      <c r="E53" s="1">
        <v>6538</v>
      </c>
      <c r="F53" s="1">
        <v>16187016</v>
      </c>
      <c r="G53" s="1">
        <v>83010</v>
      </c>
      <c r="H53" s="1">
        <v>0</v>
      </c>
      <c r="I53" s="1">
        <v>613721</v>
      </c>
    </row>
    <row r="54" spans="1:9" ht="15.75" customHeight="1" x14ac:dyDescent="0.15">
      <c r="A54" s="1" t="s">
        <v>163</v>
      </c>
      <c r="B54" s="2" t="s">
        <v>164</v>
      </c>
      <c r="C54" s="2"/>
      <c r="D54" s="1" t="s">
        <v>110</v>
      </c>
      <c r="E54" s="1">
        <v>146663</v>
      </c>
      <c r="F54" s="1">
        <v>131883405</v>
      </c>
      <c r="G54" s="1">
        <v>2606060</v>
      </c>
      <c r="H54" s="1">
        <v>0</v>
      </c>
      <c r="I54" s="1">
        <v>3419000</v>
      </c>
    </row>
    <row r="55" spans="1:9" ht="15.75" customHeight="1" x14ac:dyDescent="0.15">
      <c r="A55" s="1" t="s">
        <v>165</v>
      </c>
      <c r="B55" s="2" t="s">
        <v>166</v>
      </c>
      <c r="C55" s="2"/>
      <c r="D55" s="1" t="s">
        <v>167</v>
      </c>
      <c r="E55" s="1">
        <v>62248.194669999997</v>
      </c>
      <c r="F55" s="1">
        <v>103376260</v>
      </c>
      <c r="G55" s="1">
        <v>0</v>
      </c>
      <c r="H55" s="1">
        <v>0</v>
      </c>
      <c r="I55" s="1">
        <v>0</v>
      </c>
    </row>
    <row r="56" spans="1:9" ht="15.75" customHeight="1" x14ac:dyDescent="0.15">
      <c r="A56" s="1" t="s">
        <v>168</v>
      </c>
      <c r="B56" s="2" t="s">
        <v>169</v>
      </c>
      <c r="C56" s="2"/>
      <c r="D56" s="1" t="s">
        <v>110</v>
      </c>
      <c r="E56" s="1">
        <v>67029</v>
      </c>
      <c r="F56" s="1">
        <v>84835600</v>
      </c>
      <c r="G56" s="1">
        <v>823900</v>
      </c>
      <c r="H56" s="1">
        <v>0</v>
      </c>
      <c r="I56" s="1">
        <v>0</v>
      </c>
    </row>
    <row r="57" spans="1:9" ht="15.75" customHeight="1" x14ac:dyDescent="0.15">
      <c r="A57" s="1" t="s">
        <v>48</v>
      </c>
      <c r="B57" s="2" t="s">
        <v>170</v>
      </c>
      <c r="C57" s="2"/>
      <c r="D57" s="1" t="s">
        <v>171</v>
      </c>
      <c r="E57" s="1">
        <v>7903.6580000000004</v>
      </c>
      <c r="F57" s="1">
        <v>9115300</v>
      </c>
      <c r="G57" s="1">
        <v>3810</v>
      </c>
      <c r="H57" s="1">
        <v>55951</v>
      </c>
      <c r="I57" s="1">
        <v>0</v>
      </c>
    </row>
    <row r="58" spans="1:9" ht="15.75" customHeight="1" x14ac:dyDescent="0.15">
      <c r="A58" s="1" t="s">
        <v>172</v>
      </c>
      <c r="B58" s="2" t="s">
        <v>173</v>
      </c>
      <c r="C58" s="2"/>
      <c r="D58" s="1" t="s">
        <v>174</v>
      </c>
      <c r="E58" s="1">
        <v>15883.190329999999</v>
      </c>
      <c r="F58" s="1">
        <v>18991974</v>
      </c>
      <c r="G58" s="1">
        <v>151178.823</v>
      </c>
      <c r="H58" s="1">
        <v>0</v>
      </c>
      <c r="I58" s="1">
        <v>0</v>
      </c>
    </row>
    <row r="59" spans="1:9" ht="15.75" customHeight="1" x14ac:dyDescent="0.15">
      <c r="A59" s="1" t="s">
        <v>175</v>
      </c>
      <c r="B59" s="2" t="s">
        <v>176</v>
      </c>
      <c r="C59" s="2"/>
      <c r="D59" s="1" t="s">
        <v>177</v>
      </c>
      <c r="E59" s="1">
        <v>4693.95</v>
      </c>
      <c r="F59" s="1">
        <v>6978156</v>
      </c>
      <c r="G59" s="1">
        <v>61488</v>
      </c>
      <c r="H59" s="1">
        <v>0</v>
      </c>
      <c r="I59" s="1">
        <v>291557.46659999999</v>
      </c>
    </row>
    <row r="60" spans="1:9" ht="15.75" customHeight="1" x14ac:dyDescent="0.15">
      <c r="A60" s="1" t="s">
        <v>52</v>
      </c>
      <c r="B60" s="2" t="s">
        <v>178</v>
      </c>
      <c r="C60" s="2"/>
      <c r="D60" s="1" t="s">
        <v>122</v>
      </c>
      <c r="E60" s="1">
        <v>10252.64</v>
      </c>
      <c r="F60" s="1">
        <v>30096794</v>
      </c>
      <c r="G60" s="1">
        <v>25863</v>
      </c>
      <c r="H60" s="1">
        <v>0</v>
      </c>
      <c r="I60" s="1">
        <v>0</v>
      </c>
    </row>
    <row r="61" spans="1:9" ht="15.75" customHeight="1" x14ac:dyDescent="0.15">
      <c r="A61" s="1" t="s">
        <v>179</v>
      </c>
      <c r="B61" s="2" t="s">
        <v>180</v>
      </c>
      <c r="C61" s="2"/>
      <c r="D61" s="1" t="s">
        <v>33</v>
      </c>
      <c r="E61" s="1">
        <v>10252.64</v>
      </c>
      <c r="F61" s="1">
        <f>110911083-(I61*0.092*105.48)</f>
        <v>48514421.065919995</v>
      </c>
      <c r="G61" s="1">
        <v>11054</v>
      </c>
      <c r="H61" s="1">
        <v>0</v>
      </c>
      <c r="I61" s="1">
        <v>6429888</v>
      </c>
    </row>
    <row r="62" spans="1:9" ht="15.75" customHeight="1" x14ac:dyDescent="0.15">
      <c r="A62" s="1" t="s">
        <v>181</v>
      </c>
      <c r="B62" s="2" t="s">
        <v>182</v>
      </c>
      <c r="C62" s="2" t="s">
        <v>183</v>
      </c>
      <c r="D62" s="1" t="s">
        <v>98</v>
      </c>
      <c r="E62" s="1">
        <v>16457.12</v>
      </c>
      <c r="F62" s="1">
        <v>12559671</v>
      </c>
      <c r="G62" s="1">
        <v>79961.633610000004</v>
      </c>
      <c r="H62" s="1">
        <v>0</v>
      </c>
      <c r="I62" s="1">
        <f>4339773.19/0.092/105.48</f>
        <v>447207.50585315994</v>
      </c>
    </row>
    <row r="63" spans="1:9" ht="15.75" customHeight="1" x14ac:dyDescent="0.15">
      <c r="A63" s="1" t="s">
        <v>184</v>
      </c>
      <c r="B63" s="2" t="s">
        <v>185</v>
      </c>
      <c r="C63" s="2"/>
      <c r="D63" s="1" t="s">
        <v>22</v>
      </c>
      <c r="E63" s="1">
        <v>45732.413540000001</v>
      </c>
      <c r="F63" s="1">
        <v>78570001</v>
      </c>
      <c r="G63" s="1">
        <v>0</v>
      </c>
      <c r="H63" s="1">
        <v>0</v>
      </c>
      <c r="I63" s="1">
        <v>2648025</v>
      </c>
    </row>
    <row r="64" spans="1:9" ht="15.75" customHeight="1" x14ac:dyDescent="0.15">
      <c r="A64" s="1" t="s">
        <v>55</v>
      </c>
      <c r="B64" s="2" t="s">
        <v>186</v>
      </c>
      <c r="C64" s="2"/>
      <c r="D64" s="1" t="s">
        <v>33</v>
      </c>
      <c r="E64" s="1">
        <v>62741.8076</v>
      </c>
      <c r="F64" s="1">
        <v>104857631.2</v>
      </c>
      <c r="G64" s="1">
        <v>2096324</v>
      </c>
      <c r="H64" s="1">
        <v>0</v>
      </c>
      <c r="I64" s="1">
        <v>2062782.442</v>
      </c>
    </row>
    <row r="65" spans="1:9" ht="15.75" customHeight="1" x14ac:dyDescent="0.2">
      <c r="A65" s="1" t="s">
        <v>56</v>
      </c>
      <c r="B65" s="2" t="s">
        <v>187</v>
      </c>
      <c r="C65" s="2" t="s">
        <v>188</v>
      </c>
      <c r="D65" s="1" t="s">
        <v>33</v>
      </c>
      <c r="E65" s="4">
        <v>7178.44</v>
      </c>
      <c r="F65" s="1">
        <v>13108856</v>
      </c>
      <c r="G65" s="4">
        <v>304235</v>
      </c>
      <c r="H65" s="1">
        <v>0</v>
      </c>
      <c r="I65" s="1">
        <v>817858.72</v>
      </c>
    </row>
    <row r="66" spans="1:9" ht="15.75" customHeight="1" x14ac:dyDescent="0.15">
      <c r="A66" s="1" t="s">
        <v>189</v>
      </c>
      <c r="B66" s="2" t="s">
        <v>190</v>
      </c>
      <c r="C66" s="2"/>
      <c r="D66" s="1" t="s">
        <v>33</v>
      </c>
      <c r="E66" s="1">
        <v>39234.039989999997</v>
      </c>
      <c r="F66" s="1">
        <v>30376622</v>
      </c>
      <c r="G66" s="1">
        <v>3812303</v>
      </c>
      <c r="H66" s="1">
        <v>0</v>
      </c>
      <c r="I66" s="1">
        <v>3091256.25</v>
      </c>
    </row>
    <row r="67" spans="1:9" ht="15.75" customHeight="1" x14ac:dyDescent="0.15">
      <c r="A67" s="1" t="s">
        <v>61</v>
      </c>
      <c r="B67" s="2" t="s">
        <v>191</v>
      </c>
      <c r="C67" s="2"/>
      <c r="D67" s="1" t="s">
        <v>192</v>
      </c>
      <c r="E67" s="1">
        <v>2125.3202630000001</v>
      </c>
      <c r="F67" s="1">
        <v>6852000</v>
      </c>
      <c r="G67" s="1">
        <v>176113.3</v>
      </c>
      <c r="H67" s="1">
        <v>0</v>
      </c>
      <c r="I67" s="1">
        <v>138377.21900000001</v>
      </c>
    </row>
    <row r="68" spans="1:9" ht="15.75" customHeight="1" x14ac:dyDescent="0.15">
      <c r="A68" s="1" t="s">
        <v>193</v>
      </c>
      <c r="B68" s="2" t="s">
        <v>194</v>
      </c>
      <c r="C68" s="2"/>
      <c r="D68" s="1" t="s">
        <v>195</v>
      </c>
      <c r="E68" s="1">
        <v>37403.85</v>
      </c>
      <c r="F68" s="1">
        <v>52661473</v>
      </c>
      <c r="G68" s="1">
        <v>0</v>
      </c>
      <c r="H68" s="1">
        <v>0</v>
      </c>
      <c r="I68" s="1">
        <v>3208499.5460000001</v>
      </c>
    </row>
    <row r="69" spans="1:9" ht="15.75" customHeight="1" x14ac:dyDescent="0.15">
      <c r="A69" s="1" t="s">
        <v>196</v>
      </c>
      <c r="B69" s="2" t="s">
        <v>197</v>
      </c>
      <c r="C69" s="2"/>
      <c r="D69" s="1" t="s">
        <v>195</v>
      </c>
      <c r="E69" s="1">
        <v>12352.053</v>
      </c>
      <c r="F69" s="1">
        <v>16688342.82</v>
      </c>
      <c r="G69" s="1">
        <v>93343</v>
      </c>
      <c r="H69" s="1">
        <v>0</v>
      </c>
      <c r="I69" s="1">
        <v>1377065.7220000001</v>
      </c>
    </row>
    <row r="70" spans="1:9" ht="15.75" customHeight="1" x14ac:dyDescent="0.15">
      <c r="A70" s="1" t="s">
        <v>65</v>
      </c>
      <c r="B70" s="2" t="s">
        <v>198</v>
      </c>
      <c r="C70" s="2"/>
      <c r="D70" s="1" t="s">
        <v>47</v>
      </c>
      <c r="E70" s="1">
        <v>12535.12</v>
      </c>
      <c r="F70" s="1">
        <v>15707809.800000001</v>
      </c>
      <c r="G70" s="1">
        <v>205010</v>
      </c>
      <c r="H70" s="1">
        <v>0</v>
      </c>
      <c r="I70" s="1">
        <v>0</v>
      </c>
    </row>
    <row r="71" spans="1:9" ht="15.75" customHeight="1" x14ac:dyDescent="0.15">
      <c r="A71" s="1" t="s">
        <v>199</v>
      </c>
      <c r="B71" s="2" t="s">
        <v>200</v>
      </c>
      <c r="C71" s="2" t="s">
        <v>201</v>
      </c>
      <c r="D71" s="1" t="s">
        <v>202</v>
      </c>
      <c r="E71" s="1">
        <v>120780</v>
      </c>
      <c r="F71" s="1">
        <f>159000000- (105.48*0.092*I71)</f>
        <v>152688056.252496</v>
      </c>
      <c r="G71" s="3">
        <v>1663354</v>
      </c>
      <c r="H71" s="1">
        <v>0</v>
      </c>
      <c r="I71" s="1">
        <v>650436.9</v>
      </c>
    </row>
    <row r="72" spans="1:9" ht="15.75" customHeight="1" x14ac:dyDescent="0.15">
      <c r="A72" s="1" t="s">
        <v>203</v>
      </c>
      <c r="B72" s="2" t="s">
        <v>204</v>
      </c>
      <c r="C72" s="2"/>
      <c r="D72" s="1" t="s">
        <v>14</v>
      </c>
      <c r="E72" s="1">
        <v>27540.661</v>
      </c>
      <c r="F72" s="1">
        <v>63628120</v>
      </c>
      <c r="G72" s="1">
        <v>687307</v>
      </c>
      <c r="H72" s="1">
        <v>0</v>
      </c>
      <c r="I72" s="1">
        <v>1281696.2609999999</v>
      </c>
    </row>
    <row r="73" spans="1:9" ht="15.75" customHeight="1" x14ac:dyDescent="0.15">
      <c r="A73" s="1" t="s">
        <v>205</v>
      </c>
      <c r="B73" s="2" t="s">
        <v>206</v>
      </c>
      <c r="C73" s="2" t="s">
        <v>207</v>
      </c>
      <c r="D73" s="1" t="s">
        <v>195</v>
      </c>
      <c r="E73" s="1">
        <f>8147.716628</f>
        <v>8147.7166280000001</v>
      </c>
      <c r="F73" s="3">
        <v>19982400</v>
      </c>
      <c r="G73" s="1">
        <v>0</v>
      </c>
      <c r="H73" s="1">
        <v>13660</v>
      </c>
      <c r="I73" s="1">
        <v>770492</v>
      </c>
    </row>
    <row r="74" spans="1:9" ht="15.75" customHeight="1" x14ac:dyDescent="0.15">
      <c r="A74" s="1" t="s">
        <v>69</v>
      </c>
      <c r="B74" s="2" t="s">
        <v>208</v>
      </c>
      <c r="C74" s="2"/>
      <c r="D74" s="1" t="s">
        <v>117</v>
      </c>
      <c r="E74" s="1">
        <v>5903.5950000000003</v>
      </c>
      <c r="F74" s="1">
        <v>20505600</v>
      </c>
      <c r="G74" s="1">
        <v>293396</v>
      </c>
      <c r="H74" s="1">
        <v>0</v>
      </c>
      <c r="I74" s="1">
        <v>0</v>
      </c>
    </row>
    <row r="75" spans="1:9" ht="15.75" customHeight="1" x14ac:dyDescent="0.15">
      <c r="A75" s="1" t="s">
        <v>70</v>
      </c>
      <c r="B75" s="2" t="s">
        <v>209</v>
      </c>
      <c r="C75" s="2"/>
      <c r="D75" s="1" t="s">
        <v>117</v>
      </c>
      <c r="E75" s="1">
        <v>21818</v>
      </c>
      <c r="F75" s="1">
        <v>55471081</v>
      </c>
      <c r="G75" s="1">
        <v>0</v>
      </c>
      <c r="H75" s="1">
        <v>0</v>
      </c>
      <c r="I75" s="1">
        <v>1356869.3910000001</v>
      </c>
    </row>
    <row r="76" spans="1:9" ht="15.75" customHeight="1" x14ac:dyDescent="0.15">
      <c r="A76" s="1" t="s">
        <v>210</v>
      </c>
      <c r="B76" s="2" t="s">
        <v>211</v>
      </c>
      <c r="C76" s="2" t="s">
        <v>212</v>
      </c>
      <c r="D76" s="1" t="s">
        <v>73</v>
      </c>
      <c r="E76" s="1">
        <v>21061.70016</v>
      </c>
      <c r="F76" s="1">
        <v>33163913</v>
      </c>
      <c r="G76" s="1">
        <v>2104500</v>
      </c>
      <c r="H76" s="1">
        <v>0</v>
      </c>
      <c r="I76" s="5">
        <f>200000*366*0.61/100</f>
        <v>446520</v>
      </c>
    </row>
    <row r="77" spans="1:9" ht="15.75" customHeight="1" x14ac:dyDescent="0.15">
      <c r="A77" s="1" t="s">
        <v>213</v>
      </c>
      <c r="B77" s="2" t="s">
        <v>214</v>
      </c>
      <c r="C77" s="2" t="s">
        <v>215</v>
      </c>
      <c r="D77" s="1" t="s">
        <v>167</v>
      </c>
      <c r="E77" s="1">
        <v>20331.25</v>
      </c>
      <c r="F77" s="3">
        <v>21717978</v>
      </c>
      <c r="G77" s="3">
        <v>2216175</v>
      </c>
      <c r="H77" s="1">
        <v>0</v>
      </c>
      <c r="I77" s="1">
        <v>581779.92599999998</v>
      </c>
    </row>
    <row r="78" spans="1:9" ht="15.75" customHeight="1" x14ac:dyDescent="0.15">
      <c r="A78" s="1" t="s">
        <v>74</v>
      </c>
      <c r="B78" s="2" t="s">
        <v>216</v>
      </c>
      <c r="C78" s="2"/>
      <c r="D78" s="1" t="s">
        <v>217</v>
      </c>
      <c r="E78" s="1">
        <v>96931</v>
      </c>
      <c r="F78" s="1">
        <v>19360578</v>
      </c>
      <c r="G78" s="1">
        <v>695596</v>
      </c>
      <c r="H78" s="1">
        <v>0</v>
      </c>
      <c r="I78" s="1">
        <v>0</v>
      </c>
    </row>
    <row r="79" spans="1:9" ht="15.75" customHeight="1" x14ac:dyDescent="0.15">
      <c r="A79" s="1" t="s">
        <v>218</v>
      </c>
      <c r="B79" s="2" t="s">
        <v>219</v>
      </c>
      <c r="C79" s="2" t="s">
        <v>220</v>
      </c>
      <c r="D79" s="1" t="s">
        <v>221</v>
      </c>
      <c r="E79" s="1">
        <v>10701.33</v>
      </c>
      <c r="F79" s="1">
        <v>32010175.359999999</v>
      </c>
      <c r="G79" s="1">
        <v>51115</v>
      </c>
      <c r="H79" s="1">
        <v>0</v>
      </c>
      <c r="I79" s="1">
        <v>0</v>
      </c>
    </row>
    <row r="80" spans="1:9" ht="15.75" customHeight="1" x14ac:dyDescent="0.15">
      <c r="A80" s="1" t="s">
        <v>222</v>
      </c>
      <c r="B80" s="2" t="s">
        <v>223</v>
      </c>
      <c r="C80" s="2" t="s">
        <v>224</v>
      </c>
      <c r="D80" s="1" t="s">
        <v>103</v>
      </c>
      <c r="E80" s="1">
        <v>59811</v>
      </c>
      <c r="F80" s="1">
        <v>105162000</v>
      </c>
      <c r="G80" s="1">
        <v>0</v>
      </c>
      <c r="H80" s="1">
        <v>0</v>
      </c>
      <c r="I80" s="1">
        <v>0</v>
      </c>
    </row>
    <row r="81" spans="1:9" ht="15.75" customHeight="1" x14ac:dyDescent="0.15">
      <c r="A81" s="5" t="s">
        <v>225</v>
      </c>
      <c r="B81" s="5" t="s">
        <v>226</v>
      </c>
      <c r="C81" s="5" t="s">
        <v>227</v>
      </c>
      <c r="D81" s="5" t="s">
        <v>22</v>
      </c>
      <c r="E81" s="5">
        <v>26242.446</v>
      </c>
      <c r="F81" s="5">
        <v>78014943</v>
      </c>
      <c r="G81" s="5">
        <v>0</v>
      </c>
      <c r="H81" s="5">
        <v>0</v>
      </c>
      <c r="I81" s="5">
        <v>0</v>
      </c>
    </row>
    <row r="82" spans="1:9" ht="15.75" customHeight="1" x14ac:dyDescent="0.15"/>
    <row r="83" spans="1:9" ht="15.75" customHeight="1" x14ac:dyDescent="0.15">
      <c r="F83" s="6"/>
      <c r="G83" s="6"/>
    </row>
    <row r="84" spans="1:9" ht="15.75" customHeight="1" x14ac:dyDescent="0.15">
      <c r="A84" s="5"/>
    </row>
    <row r="85" spans="1:9" ht="15.75" customHeight="1" x14ac:dyDescent="0.15"/>
    <row r="86" spans="1:9" ht="15.75" customHeight="1" x14ac:dyDescent="0.15"/>
    <row r="87" spans="1:9" ht="15.75" customHeight="1" x14ac:dyDescent="0.15"/>
    <row r="88" spans="1:9" ht="15.75" customHeight="1" x14ac:dyDescent="0.15"/>
    <row r="89" spans="1:9" ht="15.75" customHeight="1" x14ac:dyDescent="0.15"/>
    <row r="90" spans="1:9" ht="15.75" customHeight="1" x14ac:dyDescent="0.15"/>
    <row r="91" spans="1:9" ht="15.75" customHeight="1" x14ac:dyDescent="0.15"/>
    <row r="92" spans="1:9" ht="15.75" customHeight="1" x14ac:dyDescent="0.15"/>
    <row r="93" spans="1:9" ht="15.75" customHeight="1" x14ac:dyDescent="0.15"/>
    <row r="94" spans="1:9" ht="15.75" customHeight="1" x14ac:dyDescent="0.15"/>
    <row r="95" spans="1:9" ht="15.75" customHeight="1" x14ac:dyDescent="0.15"/>
    <row r="96" spans="1:9" ht="15.75" customHeight="1" x14ac:dyDescent="0.15"/>
    <row r="97" spans="2:3" ht="15.75" customHeight="1" x14ac:dyDescent="0.15"/>
    <row r="98" spans="2:3" ht="15.75" customHeight="1" x14ac:dyDescent="0.15"/>
    <row r="99" spans="2:3" ht="15.75" customHeight="1" x14ac:dyDescent="0.15"/>
    <row r="100" spans="2:3" ht="15.75" customHeight="1" x14ac:dyDescent="0.15">
      <c r="B100" s="2"/>
      <c r="C100" s="2"/>
    </row>
    <row r="101" spans="2:3" ht="15.75" customHeight="1" x14ac:dyDescent="0.15">
      <c r="B101" s="2"/>
      <c r="C101" s="2"/>
    </row>
    <row r="102" spans="2:3" ht="15.75" customHeight="1" x14ac:dyDescent="0.15">
      <c r="B102" s="2"/>
      <c r="C102" s="2"/>
    </row>
    <row r="103" spans="2:3" ht="15.75" customHeight="1" x14ac:dyDescent="0.15">
      <c r="B103" s="2"/>
      <c r="C103" s="2"/>
    </row>
    <row r="104" spans="2:3" ht="15.75" customHeight="1" x14ac:dyDescent="0.15">
      <c r="B104" s="2"/>
      <c r="C104" s="2"/>
    </row>
    <row r="105" spans="2:3" ht="15.75" customHeight="1" x14ac:dyDescent="0.15">
      <c r="B105" s="2"/>
      <c r="C105" s="2"/>
    </row>
    <row r="106" spans="2:3" ht="15.75" customHeight="1" x14ac:dyDescent="0.15">
      <c r="B106" s="2"/>
      <c r="C106" s="2"/>
    </row>
    <row r="107" spans="2:3" ht="15.75" customHeight="1" x14ac:dyDescent="0.15">
      <c r="B107" s="2"/>
      <c r="C107" s="2"/>
    </row>
    <row r="108" spans="2:3" ht="15.75" customHeight="1" x14ac:dyDescent="0.15">
      <c r="B108" s="2"/>
      <c r="C108" s="2"/>
    </row>
    <row r="109" spans="2:3" ht="15.75" customHeight="1" x14ac:dyDescent="0.15">
      <c r="B109" s="2"/>
      <c r="C109" s="2"/>
    </row>
    <row r="110" spans="2:3" ht="15.75" customHeight="1" x14ac:dyDescent="0.15">
      <c r="B110" s="2"/>
      <c r="C110" s="2"/>
    </row>
    <row r="111" spans="2:3" ht="15.75" customHeight="1" x14ac:dyDescent="0.15">
      <c r="B111" s="2"/>
      <c r="C111" s="2"/>
    </row>
    <row r="112" spans="2:3" ht="15.75" customHeight="1" x14ac:dyDescent="0.15">
      <c r="B112" s="2"/>
      <c r="C112" s="2"/>
    </row>
    <row r="113" spans="2:3" ht="15.75" customHeight="1" x14ac:dyDescent="0.15">
      <c r="B113" s="2"/>
      <c r="C113" s="2"/>
    </row>
    <row r="114" spans="2:3" ht="15.75" customHeight="1" x14ac:dyDescent="0.15">
      <c r="B114" s="2"/>
      <c r="C114" s="2"/>
    </row>
    <row r="115" spans="2:3" ht="15.75" customHeight="1" x14ac:dyDescent="0.15">
      <c r="B115" s="2"/>
      <c r="C115" s="2"/>
    </row>
    <row r="116" spans="2:3" ht="15.75" customHeight="1" x14ac:dyDescent="0.15">
      <c r="B116" s="2"/>
      <c r="C116" s="2"/>
    </row>
    <row r="117" spans="2:3" ht="15.75" customHeight="1" x14ac:dyDescent="0.15">
      <c r="B117" s="2"/>
      <c r="C117" s="2"/>
    </row>
    <row r="118" spans="2:3" ht="15.75" customHeight="1" x14ac:dyDescent="0.15">
      <c r="B118" s="2"/>
      <c r="C118" s="2"/>
    </row>
    <row r="119" spans="2:3" ht="15.75" customHeight="1" x14ac:dyDescent="0.15">
      <c r="B119" s="2"/>
      <c r="C119" s="2"/>
    </row>
    <row r="120" spans="2:3" ht="15.75" customHeight="1" x14ac:dyDescent="0.15">
      <c r="B120" s="2"/>
      <c r="C120" s="2"/>
    </row>
    <row r="121" spans="2:3" ht="15.75" customHeight="1" x14ac:dyDescent="0.15">
      <c r="B121" s="2"/>
      <c r="C121" s="2"/>
    </row>
    <row r="122" spans="2:3" ht="15.75" customHeight="1" x14ac:dyDescent="0.15">
      <c r="B122" s="2"/>
      <c r="C122" s="2"/>
    </row>
    <row r="123" spans="2:3" ht="15.75" customHeight="1" x14ac:dyDescent="0.15">
      <c r="B123" s="2"/>
      <c r="C123" s="2"/>
    </row>
    <row r="124" spans="2:3" ht="15.75" customHeight="1" x14ac:dyDescent="0.15">
      <c r="B124" s="2"/>
      <c r="C124" s="2"/>
    </row>
    <row r="125" spans="2:3" ht="15.75" customHeight="1" x14ac:dyDescent="0.15">
      <c r="B125" s="2"/>
      <c r="C125" s="2"/>
    </row>
    <row r="126" spans="2:3" ht="15.75" customHeight="1" x14ac:dyDescent="0.15">
      <c r="B126" s="2"/>
      <c r="C126" s="2"/>
    </row>
    <row r="127" spans="2:3" ht="15.75" customHeight="1" x14ac:dyDescent="0.15">
      <c r="B127" s="2"/>
      <c r="C127" s="2"/>
    </row>
    <row r="128" spans="2:3" ht="15.75" customHeight="1" x14ac:dyDescent="0.15">
      <c r="B128" s="2"/>
      <c r="C128" s="2"/>
    </row>
    <row r="129" spans="2:3" ht="15.75" customHeight="1" x14ac:dyDescent="0.15">
      <c r="B129" s="2"/>
      <c r="C129" s="2"/>
    </row>
    <row r="130" spans="2:3" ht="15.75" customHeight="1" x14ac:dyDescent="0.15">
      <c r="B130" s="2"/>
      <c r="C130" s="2"/>
    </row>
    <row r="131" spans="2:3" ht="15.75" customHeight="1" x14ac:dyDescent="0.15">
      <c r="B131" s="2"/>
      <c r="C131" s="2"/>
    </row>
    <row r="132" spans="2:3" ht="15.75" customHeight="1" x14ac:dyDescent="0.15">
      <c r="B132" s="2"/>
      <c r="C132" s="2"/>
    </row>
    <row r="133" spans="2:3" ht="15.75" customHeight="1" x14ac:dyDescent="0.15">
      <c r="B133" s="2"/>
      <c r="C133" s="2"/>
    </row>
    <row r="134" spans="2:3" ht="15.75" customHeight="1" x14ac:dyDescent="0.15">
      <c r="B134" s="2"/>
      <c r="C134" s="2"/>
    </row>
    <row r="135" spans="2:3" ht="15.75" customHeight="1" x14ac:dyDescent="0.15">
      <c r="B135" s="2"/>
      <c r="C135" s="2"/>
    </row>
    <row r="136" spans="2:3" ht="15.75" customHeight="1" x14ac:dyDescent="0.15">
      <c r="B136" s="2"/>
      <c r="C136" s="2"/>
    </row>
    <row r="137" spans="2:3" ht="15.75" customHeight="1" x14ac:dyDescent="0.15">
      <c r="B137" s="2"/>
      <c r="C137" s="2"/>
    </row>
    <row r="138" spans="2:3" ht="15.75" customHeight="1" x14ac:dyDescent="0.15">
      <c r="B138" s="2"/>
      <c r="C138" s="2"/>
    </row>
    <row r="139" spans="2:3" ht="15.75" customHeight="1" x14ac:dyDescent="0.15">
      <c r="B139" s="2"/>
      <c r="C139" s="2"/>
    </row>
    <row r="140" spans="2:3" ht="15.75" customHeight="1" x14ac:dyDescent="0.15">
      <c r="B140" s="2"/>
      <c r="C140" s="2"/>
    </row>
    <row r="141" spans="2:3" ht="15.75" customHeight="1" x14ac:dyDescent="0.15">
      <c r="B141" s="2"/>
      <c r="C141" s="2"/>
    </row>
    <row r="142" spans="2:3" ht="15.75" customHeight="1" x14ac:dyDescent="0.15">
      <c r="B142" s="2"/>
      <c r="C142" s="2"/>
    </row>
    <row r="143" spans="2:3" ht="15.75" customHeight="1" x14ac:dyDescent="0.15">
      <c r="B143" s="2"/>
      <c r="C143" s="2"/>
    </row>
    <row r="144" spans="2:3" ht="15.75" customHeight="1" x14ac:dyDescent="0.15">
      <c r="B144" s="2"/>
      <c r="C144" s="2"/>
    </row>
    <row r="145" spans="2:3" ht="15.75" customHeight="1" x14ac:dyDescent="0.15">
      <c r="B145" s="2"/>
      <c r="C145" s="2"/>
    </row>
    <row r="146" spans="2:3" ht="15.75" customHeight="1" x14ac:dyDescent="0.15">
      <c r="B146" s="2"/>
      <c r="C146" s="2"/>
    </row>
    <row r="147" spans="2:3" ht="15.75" customHeight="1" x14ac:dyDescent="0.15">
      <c r="B147" s="2"/>
      <c r="C147" s="2"/>
    </row>
    <row r="148" spans="2:3" ht="15.75" customHeight="1" x14ac:dyDescent="0.15">
      <c r="B148" s="2"/>
      <c r="C148" s="2"/>
    </row>
    <row r="149" spans="2:3" ht="15.75" customHeight="1" x14ac:dyDescent="0.15">
      <c r="B149" s="2"/>
      <c r="C149" s="2"/>
    </row>
    <row r="150" spans="2:3" ht="15.75" customHeight="1" x14ac:dyDescent="0.15">
      <c r="B150" s="2"/>
      <c r="C150" s="2"/>
    </row>
    <row r="151" spans="2:3" ht="15.75" customHeight="1" x14ac:dyDescent="0.15">
      <c r="B151" s="2"/>
      <c r="C151" s="2"/>
    </row>
    <row r="152" spans="2:3" ht="15.75" customHeight="1" x14ac:dyDescent="0.15">
      <c r="B152" s="2"/>
      <c r="C152" s="2"/>
    </row>
    <row r="153" spans="2:3" ht="15.75" customHeight="1" x14ac:dyDescent="0.15">
      <c r="B153" s="2"/>
      <c r="C153" s="2"/>
    </row>
    <row r="154" spans="2:3" ht="15.75" customHeight="1" x14ac:dyDescent="0.15">
      <c r="B154" s="2"/>
      <c r="C154" s="2"/>
    </row>
    <row r="155" spans="2:3" ht="15.75" customHeight="1" x14ac:dyDescent="0.15">
      <c r="B155" s="2"/>
      <c r="C155" s="2"/>
    </row>
    <row r="156" spans="2:3" ht="15.75" customHeight="1" x14ac:dyDescent="0.15">
      <c r="B156" s="2"/>
      <c r="C156" s="2"/>
    </row>
    <row r="157" spans="2:3" ht="15.75" customHeight="1" x14ac:dyDescent="0.15">
      <c r="B157" s="2"/>
      <c r="C157" s="2"/>
    </row>
    <row r="158" spans="2:3" ht="15.75" customHeight="1" x14ac:dyDescent="0.15">
      <c r="B158" s="2"/>
      <c r="C158" s="2"/>
    </row>
    <row r="159" spans="2:3" ht="15.75" customHeight="1" x14ac:dyDescent="0.15">
      <c r="B159" s="2"/>
      <c r="C159" s="2"/>
    </row>
    <row r="160" spans="2:3" ht="15.75" customHeight="1" x14ac:dyDescent="0.15">
      <c r="B160" s="2"/>
      <c r="C160" s="2"/>
    </row>
    <row r="161" spans="2:3" ht="15.75" customHeight="1" x14ac:dyDescent="0.15">
      <c r="B161" s="2"/>
      <c r="C161" s="2"/>
    </row>
    <row r="162" spans="2:3" ht="15.75" customHeight="1" x14ac:dyDescent="0.15">
      <c r="B162" s="2"/>
      <c r="C162" s="2"/>
    </row>
    <row r="163" spans="2:3" ht="15.75" customHeight="1" x14ac:dyDescent="0.15">
      <c r="B163" s="2"/>
      <c r="C163" s="2"/>
    </row>
    <row r="164" spans="2:3" ht="15.75" customHeight="1" x14ac:dyDescent="0.15">
      <c r="B164" s="2"/>
      <c r="C164" s="2"/>
    </row>
    <row r="165" spans="2:3" ht="15.75" customHeight="1" x14ac:dyDescent="0.15">
      <c r="B165" s="2"/>
      <c r="C165" s="2"/>
    </row>
    <row r="166" spans="2:3" ht="15.75" customHeight="1" x14ac:dyDescent="0.15">
      <c r="B166" s="2"/>
      <c r="C166" s="2"/>
    </row>
    <row r="167" spans="2:3" ht="15.75" customHeight="1" x14ac:dyDescent="0.15">
      <c r="B167" s="2"/>
      <c r="C167" s="2"/>
    </row>
    <row r="168" spans="2:3" ht="15.75" customHeight="1" x14ac:dyDescent="0.15">
      <c r="B168" s="2"/>
      <c r="C168" s="2"/>
    </row>
    <row r="169" spans="2:3" ht="15.75" customHeight="1" x14ac:dyDescent="0.15">
      <c r="B169" s="2"/>
      <c r="C169" s="2"/>
    </row>
    <row r="170" spans="2:3" ht="15.75" customHeight="1" x14ac:dyDescent="0.15">
      <c r="B170" s="2"/>
      <c r="C170" s="2"/>
    </row>
    <row r="171" spans="2:3" ht="15.75" customHeight="1" x14ac:dyDescent="0.15">
      <c r="B171" s="2"/>
      <c r="C171" s="2"/>
    </row>
    <row r="172" spans="2:3" ht="15.75" customHeight="1" x14ac:dyDescent="0.15">
      <c r="B172" s="2"/>
      <c r="C172" s="2"/>
    </row>
    <row r="173" spans="2:3" ht="15.75" customHeight="1" x14ac:dyDescent="0.15">
      <c r="B173" s="2"/>
      <c r="C173" s="2"/>
    </row>
    <row r="174" spans="2:3" ht="15.75" customHeight="1" x14ac:dyDescent="0.15">
      <c r="B174" s="2"/>
      <c r="C174" s="2"/>
    </row>
    <row r="175" spans="2:3" ht="15.75" customHeight="1" x14ac:dyDescent="0.15">
      <c r="B175" s="2"/>
      <c r="C175" s="2"/>
    </row>
    <row r="176" spans="2:3" ht="15.75" customHeight="1" x14ac:dyDescent="0.15">
      <c r="B176" s="2"/>
      <c r="C176" s="2"/>
    </row>
    <row r="177" spans="2:3" ht="15.75" customHeight="1" x14ac:dyDescent="0.15">
      <c r="B177" s="2"/>
      <c r="C177" s="2"/>
    </row>
    <row r="178" spans="2:3" ht="15.75" customHeight="1" x14ac:dyDescent="0.15">
      <c r="B178" s="2"/>
      <c r="C178" s="2"/>
    </row>
    <row r="179" spans="2:3" ht="15.75" customHeight="1" x14ac:dyDescent="0.15">
      <c r="B179" s="2"/>
      <c r="C179" s="2"/>
    </row>
    <row r="180" spans="2:3" ht="15.75" customHeight="1" x14ac:dyDescent="0.15">
      <c r="B180" s="2"/>
      <c r="C180" s="2"/>
    </row>
    <row r="181" spans="2:3" ht="15.75" customHeight="1" x14ac:dyDescent="0.15">
      <c r="B181" s="2"/>
      <c r="C181" s="2"/>
    </row>
    <row r="182" spans="2:3" ht="15.75" customHeight="1" x14ac:dyDescent="0.15">
      <c r="B182" s="2"/>
      <c r="C182" s="2"/>
    </row>
    <row r="183" spans="2:3" ht="15.75" customHeight="1" x14ac:dyDescent="0.15">
      <c r="B183" s="2"/>
      <c r="C183" s="2"/>
    </row>
    <row r="184" spans="2:3" ht="15.75" customHeight="1" x14ac:dyDescent="0.15">
      <c r="B184" s="2"/>
      <c r="C184" s="2"/>
    </row>
    <row r="185" spans="2:3" ht="15.75" customHeight="1" x14ac:dyDescent="0.15">
      <c r="B185" s="2"/>
      <c r="C185" s="2"/>
    </row>
    <row r="186" spans="2:3" ht="15.75" customHeight="1" x14ac:dyDescent="0.15">
      <c r="B186" s="2"/>
      <c r="C186" s="2"/>
    </row>
    <row r="187" spans="2:3" ht="15.75" customHeight="1" x14ac:dyDescent="0.15">
      <c r="B187" s="2"/>
      <c r="C187" s="2"/>
    </row>
    <row r="188" spans="2:3" ht="15.75" customHeight="1" x14ac:dyDescent="0.15">
      <c r="B188" s="2"/>
      <c r="C188" s="2"/>
    </row>
    <row r="189" spans="2:3" ht="15.75" customHeight="1" x14ac:dyDescent="0.15">
      <c r="B189" s="2"/>
      <c r="C189" s="2"/>
    </row>
    <row r="190" spans="2:3" ht="15.75" customHeight="1" x14ac:dyDescent="0.15">
      <c r="B190" s="2"/>
      <c r="C190" s="2"/>
    </row>
    <row r="191" spans="2:3" ht="15.75" customHeight="1" x14ac:dyDescent="0.15">
      <c r="B191" s="2"/>
      <c r="C191" s="2"/>
    </row>
    <row r="192" spans="2:3" ht="15.75" customHeight="1" x14ac:dyDescent="0.15">
      <c r="B192" s="2"/>
      <c r="C192" s="2"/>
    </row>
    <row r="193" spans="2:3" ht="15.75" customHeight="1" x14ac:dyDescent="0.15">
      <c r="B193" s="2"/>
      <c r="C193" s="2"/>
    </row>
    <row r="194" spans="2:3" ht="15.75" customHeight="1" x14ac:dyDescent="0.15">
      <c r="B194" s="2"/>
      <c r="C194" s="2"/>
    </row>
    <row r="195" spans="2:3" ht="15.75" customHeight="1" x14ac:dyDescent="0.15">
      <c r="B195" s="2"/>
      <c r="C195" s="2"/>
    </row>
    <row r="196" spans="2:3" ht="15.75" customHeight="1" x14ac:dyDescent="0.15">
      <c r="B196" s="2"/>
      <c r="C196" s="2"/>
    </row>
    <row r="197" spans="2:3" ht="15.75" customHeight="1" x14ac:dyDescent="0.15">
      <c r="B197" s="2"/>
      <c r="C197" s="2"/>
    </row>
    <row r="198" spans="2:3" ht="15.75" customHeight="1" x14ac:dyDescent="0.15">
      <c r="B198" s="2"/>
      <c r="C198" s="2"/>
    </row>
    <row r="199" spans="2:3" ht="15.75" customHeight="1" x14ac:dyDescent="0.15">
      <c r="B199" s="2"/>
      <c r="C199" s="2"/>
    </row>
    <row r="200" spans="2:3" ht="15.75" customHeight="1" x14ac:dyDescent="0.15">
      <c r="B200" s="2"/>
      <c r="C200" s="2"/>
    </row>
    <row r="201" spans="2:3" ht="15.75" customHeight="1" x14ac:dyDescent="0.15">
      <c r="B201" s="2"/>
      <c r="C201" s="2"/>
    </row>
    <row r="202" spans="2:3" ht="15.75" customHeight="1" x14ac:dyDescent="0.15">
      <c r="B202" s="2"/>
      <c r="C202" s="2"/>
    </row>
    <row r="203" spans="2:3" ht="15.75" customHeight="1" x14ac:dyDescent="0.15">
      <c r="B203" s="2"/>
      <c r="C203" s="2"/>
    </row>
    <row r="204" spans="2:3" ht="15.75" customHeight="1" x14ac:dyDescent="0.15">
      <c r="B204" s="2"/>
      <c r="C204" s="2"/>
    </row>
    <row r="205" spans="2:3" ht="15.75" customHeight="1" x14ac:dyDescent="0.15">
      <c r="B205" s="2"/>
      <c r="C205" s="2"/>
    </row>
    <row r="206" spans="2:3" ht="15.75" customHeight="1" x14ac:dyDescent="0.15">
      <c r="B206" s="2"/>
      <c r="C206" s="2"/>
    </row>
    <row r="207" spans="2:3" ht="15.75" customHeight="1" x14ac:dyDescent="0.15">
      <c r="B207" s="2"/>
      <c r="C207" s="2"/>
    </row>
    <row r="208" spans="2:3" ht="15.75" customHeight="1" x14ac:dyDescent="0.15">
      <c r="B208" s="2"/>
      <c r="C208" s="2"/>
    </row>
    <row r="209" spans="2:3" ht="15.75" customHeight="1" x14ac:dyDescent="0.15">
      <c r="B209" s="2"/>
      <c r="C209" s="2"/>
    </row>
    <row r="210" spans="2:3" ht="15.75" customHeight="1" x14ac:dyDescent="0.15">
      <c r="B210" s="2"/>
      <c r="C210" s="2"/>
    </row>
    <row r="211" spans="2:3" ht="15.75" customHeight="1" x14ac:dyDescent="0.15">
      <c r="B211" s="2"/>
      <c r="C211" s="2"/>
    </row>
    <row r="212" spans="2:3" ht="15.75" customHeight="1" x14ac:dyDescent="0.15">
      <c r="B212" s="2"/>
      <c r="C212" s="2"/>
    </row>
    <row r="213" spans="2:3" ht="15.75" customHeight="1" x14ac:dyDescent="0.15">
      <c r="B213" s="2"/>
      <c r="C213" s="2"/>
    </row>
    <row r="214" spans="2:3" ht="15.75" customHeight="1" x14ac:dyDescent="0.15">
      <c r="B214" s="2"/>
      <c r="C214" s="2"/>
    </row>
    <row r="215" spans="2:3" ht="15.75" customHeight="1" x14ac:dyDescent="0.15">
      <c r="B215" s="2"/>
      <c r="C215" s="2"/>
    </row>
    <row r="216" spans="2:3" ht="15.75" customHeight="1" x14ac:dyDescent="0.15">
      <c r="B216" s="2"/>
      <c r="C216" s="2"/>
    </row>
    <row r="217" spans="2:3" ht="15.75" customHeight="1" x14ac:dyDescent="0.15">
      <c r="B217" s="2"/>
      <c r="C217" s="2"/>
    </row>
    <row r="218" spans="2:3" ht="15.75" customHeight="1" x14ac:dyDescent="0.15">
      <c r="B218" s="2"/>
      <c r="C218" s="2"/>
    </row>
    <row r="219" spans="2:3" ht="15.75" customHeight="1" x14ac:dyDescent="0.15">
      <c r="B219" s="2"/>
      <c r="C219" s="2"/>
    </row>
    <row r="220" spans="2:3" ht="15.75" customHeight="1" x14ac:dyDescent="0.15">
      <c r="B220" s="2"/>
      <c r="C220" s="2"/>
    </row>
    <row r="221" spans="2:3" ht="15.75" customHeight="1" x14ac:dyDescent="0.15">
      <c r="B221" s="2"/>
      <c r="C221" s="2"/>
    </row>
    <row r="222" spans="2:3" ht="15.75" customHeight="1" x14ac:dyDescent="0.15">
      <c r="B222" s="2"/>
      <c r="C222" s="2"/>
    </row>
    <row r="223" spans="2:3" ht="15.75" customHeight="1" x14ac:dyDescent="0.15">
      <c r="B223" s="2"/>
      <c r="C223" s="2"/>
    </row>
    <row r="224" spans="2:3" ht="15.75" customHeight="1" x14ac:dyDescent="0.15">
      <c r="B224" s="2"/>
      <c r="C224" s="2"/>
    </row>
    <row r="225" spans="2:3" ht="15.75" customHeight="1" x14ac:dyDescent="0.15">
      <c r="B225" s="2"/>
      <c r="C225" s="2"/>
    </row>
    <row r="226" spans="2:3" ht="15.75" customHeight="1" x14ac:dyDescent="0.15">
      <c r="B226" s="2"/>
      <c r="C226" s="2"/>
    </row>
    <row r="227" spans="2:3" ht="15.75" customHeight="1" x14ac:dyDescent="0.15">
      <c r="B227" s="2"/>
      <c r="C227" s="2"/>
    </row>
    <row r="228" spans="2:3" ht="15.75" customHeight="1" x14ac:dyDescent="0.15">
      <c r="B228" s="2"/>
      <c r="C228" s="2"/>
    </row>
    <row r="229" spans="2:3" ht="15.75" customHeight="1" x14ac:dyDescent="0.15">
      <c r="B229" s="2"/>
      <c r="C229" s="2"/>
    </row>
    <row r="230" spans="2:3" ht="15.75" customHeight="1" x14ac:dyDescent="0.15">
      <c r="B230" s="2"/>
      <c r="C230" s="2"/>
    </row>
    <row r="231" spans="2:3" ht="15.75" customHeight="1" x14ac:dyDescent="0.15">
      <c r="B231" s="2"/>
      <c r="C231" s="2"/>
    </row>
    <row r="232" spans="2:3" ht="15.75" customHeight="1" x14ac:dyDescent="0.15">
      <c r="B232" s="2"/>
      <c r="C232" s="2"/>
    </row>
    <row r="233" spans="2:3" ht="15.75" customHeight="1" x14ac:dyDescent="0.15">
      <c r="B233" s="2"/>
      <c r="C233" s="2"/>
    </row>
    <row r="234" spans="2:3" ht="15.75" customHeight="1" x14ac:dyDescent="0.15">
      <c r="B234" s="2"/>
      <c r="C234" s="2"/>
    </row>
    <row r="235" spans="2:3" ht="15.75" customHeight="1" x14ac:dyDescent="0.15">
      <c r="B235" s="2"/>
      <c r="C235" s="2"/>
    </row>
    <row r="236" spans="2:3" ht="15.75" customHeight="1" x14ac:dyDescent="0.15">
      <c r="B236" s="2"/>
      <c r="C236" s="2"/>
    </row>
    <row r="237" spans="2:3" ht="15.75" customHeight="1" x14ac:dyDescent="0.15">
      <c r="B237" s="2"/>
      <c r="C237" s="2"/>
    </row>
    <row r="238" spans="2:3" ht="15.75" customHeight="1" x14ac:dyDescent="0.15">
      <c r="B238" s="2"/>
      <c r="C238" s="2"/>
    </row>
    <row r="239" spans="2:3" ht="15.75" customHeight="1" x14ac:dyDescent="0.15">
      <c r="B239" s="2"/>
      <c r="C239" s="2"/>
    </row>
    <row r="240" spans="2:3" ht="15.75" customHeight="1" x14ac:dyDescent="0.15">
      <c r="B240" s="2"/>
      <c r="C240" s="2"/>
    </row>
    <row r="241" spans="2:3" ht="15.75" customHeight="1" x14ac:dyDescent="0.15">
      <c r="B241" s="2"/>
      <c r="C241" s="2"/>
    </row>
    <row r="242" spans="2:3" ht="15.75" customHeight="1" x14ac:dyDescent="0.15">
      <c r="B242" s="2"/>
      <c r="C242" s="2"/>
    </row>
    <row r="243" spans="2:3" ht="15.75" customHeight="1" x14ac:dyDescent="0.15">
      <c r="B243" s="2"/>
      <c r="C243" s="2"/>
    </row>
    <row r="244" spans="2:3" ht="15.75" customHeight="1" x14ac:dyDescent="0.15">
      <c r="B244" s="2"/>
      <c r="C244" s="2"/>
    </row>
    <row r="245" spans="2:3" ht="15.75" customHeight="1" x14ac:dyDescent="0.15">
      <c r="B245" s="2"/>
      <c r="C245" s="2"/>
    </row>
    <row r="246" spans="2:3" ht="15.75" customHeight="1" x14ac:dyDescent="0.15">
      <c r="B246" s="2"/>
      <c r="C246" s="2"/>
    </row>
    <row r="247" spans="2:3" ht="15.75" customHeight="1" x14ac:dyDescent="0.15">
      <c r="B247" s="2"/>
      <c r="C247" s="2"/>
    </row>
    <row r="248" spans="2:3" ht="15.75" customHeight="1" x14ac:dyDescent="0.15">
      <c r="B248" s="2"/>
      <c r="C248" s="2"/>
    </row>
    <row r="249" spans="2:3" ht="15.75" customHeight="1" x14ac:dyDescent="0.15">
      <c r="B249" s="2"/>
      <c r="C249" s="2"/>
    </row>
    <row r="250" spans="2:3" ht="15.75" customHeight="1" x14ac:dyDescent="0.15">
      <c r="B250" s="2"/>
      <c r="C250" s="2"/>
    </row>
    <row r="251" spans="2:3" ht="15.75" customHeight="1" x14ac:dyDescent="0.15">
      <c r="B251" s="2"/>
      <c r="C251" s="2"/>
    </row>
    <row r="252" spans="2:3" ht="15.75" customHeight="1" x14ac:dyDescent="0.15">
      <c r="B252" s="2"/>
      <c r="C252" s="2"/>
    </row>
    <row r="253" spans="2:3" ht="15.75" customHeight="1" x14ac:dyDescent="0.15">
      <c r="B253" s="2"/>
      <c r="C253" s="2"/>
    </row>
    <row r="254" spans="2:3" ht="15.75" customHeight="1" x14ac:dyDescent="0.15">
      <c r="B254" s="2"/>
      <c r="C254" s="2"/>
    </row>
    <row r="255" spans="2:3" ht="15.75" customHeight="1" x14ac:dyDescent="0.15">
      <c r="B255" s="2"/>
      <c r="C255" s="2"/>
    </row>
    <row r="256" spans="2:3" ht="15.75" customHeight="1" x14ac:dyDescent="0.15">
      <c r="B256" s="2"/>
      <c r="C256" s="2"/>
    </row>
    <row r="257" spans="2:3" ht="15.75" customHeight="1" x14ac:dyDescent="0.15">
      <c r="B257" s="2"/>
      <c r="C257" s="2"/>
    </row>
    <row r="258" spans="2:3" ht="15.75" customHeight="1" x14ac:dyDescent="0.15">
      <c r="B258" s="2"/>
      <c r="C258" s="2"/>
    </row>
    <row r="259" spans="2:3" ht="15.75" customHeight="1" x14ac:dyDescent="0.15">
      <c r="B259" s="2"/>
      <c r="C259" s="2"/>
    </row>
    <row r="260" spans="2:3" ht="15.75" customHeight="1" x14ac:dyDescent="0.15">
      <c r="B260" s="2"/>
      <c r="C260" s="2"/>
    </row>
    <row r="261" spans="2:3" ht="15.75" customHeight="1" x14ac:dyDescent="0.15">
      <c r="B261" s="2"/>
      <c r="C261" s="2"/>
    </row>
    <row r="262" spans="2:3" ht="15.75" customHeight="1" x14ac:dyDescent="0.15">
      <c r="B262" s="2"/>
      <c r="C262" s="2"/>
    </row>
    <row r="263" spans="2:3" ht="15.75" customHeight="1" x14ac:dyDescent="0.15">
      <c r="B263" s="2"/>
      <c r="C263" s="2"/>
    </row>
    <row r="264" spans="2:3" ht="15.75" customHeight="1" x14ac:dyDescent="0.15">
      <c r="B264" s="2"/>
      <c r="C264" s="2"/>
    </row>
    <row r="265" spans="2:3" ht="15.75" customHeight="1" x14ac:dyDescent="0.15">
      <c r="B265" s="2"/>
      <c r="C265" s="2"/>
    </row>
    <row r="266" spans="2:3" ht="15.75" customHeight="1" x14ac:dyDescent="0.15">
      <c r="B266" s="2"/>
      <c r="C266" s="2"/>
    </row>
    <row r="267" spans="2:3" ht="15.75" customHeight="1" x14ac:dyDescent="0.15">
      <c r="B267" s="2"/>
      <c r="C267" s="2"/>
    </row>
    <row r="268" spans="2:3" ht="15.75" customHeight="1" x14ac:dyDescent="0.15">
      <c r="B268" s="2"/>
      <c r="C268" s="2"/>
    </row>
    <row r="269" spans="2:3" ht="15.75" customHeight="1" x14ac:dyDescent="0.15">
      <c r="B269" s="2"/>
      <c r="C269" s="2"/>
    </row>
    <row r="270" spans="2:3" ht="15.75" customHeight="1" x14ac:dyDescent="0.15">
      <c r="B270" s="2"/>
      <c r="C270" s="2"/>
    </row>
    <row r="271" spans="2:3" ht="15.75" customHeight="1" x14ac:dyDescent="0.15">
      <c r="B271" s="2"/>
      <c r="C271" s="2"/>
    </row>
    <row r="272" spans="2:3" ht="15.75" customHeight="1" x14ac:dyDescent="0.15">
      <c r="B272" s="2"/>
      <c r="C272" s="2"/>
    </row>
    <row r="273" spans="2:3" ht="15.75" customHeight="1" x14ac:dyDescent="0.15">
      <c r="B273" s="2"/>
      <c r="C273" s="2"/>
    </row>
    <row r="274" spans="2:3" ht="15.75" customHeight="1" x14ac:dyDescent="0.15">
      <c r="B274" s="2"/>
      <c r="C274" s="2"/>
    </row>
    <row r="275" spans="2:3" ht="15.75" customHeight="1" x14ac:dyDescent="0.15">
      <c r="B275" s="2"/>
      <c r="C275" s="2"/>
    </row>
    <row r="276" spans="2:3" ht="15.75" customHeight="1" x14ac:dyDescent="0.15">
      <c r="B276" s="2"/>
      <c r="C276" s="2"/>
    </row>
    <row r="277" spans="2:3" ht="15.75" customHeight="1" x14ac:dyDescent="0.15">
      <c r="B277" s="2"/>
      <c r="C277" s="2"/>
    </row>
    <row r="278" spans="2:3" ht="15.75" customHeight="1" x14ac:dyDescent="0.15">
      <c r="B278" s="2"/>
      <c r="C278" s="2"/>
    </row>
    <row r="279" spans="2:3" ht="15.75" customHeight="1" x14ac:dyDescent="0.15">
      <c r="B279" s="2"/>
      <c r="C279" s="2"/>
    </row>
    <row r="280" spans="2:3" ht="15.75" customHeight="1" x14ac:dyDescent="0.15">
      <c r="B280" s="2"/>
      <c r="C280" s="2"/>
    </row>
    <row r="281" spans="2:3" ht="15.75" customHeight="1" x14ac:dyDescent="0.15"/>
    <row r="282" spans="2:3" ht="15.75" customHeight="1" x14ac:dyDescent="0.15"/>
    <row r="283" spans="2:3" ht="15.75" customHeight="1" x14ac:dyDescent="0.15"/>
    <row r="284" spans="2:3" ht="15.75" customHeight="1" x14ac:dyDescent="0.15"/>
    <row r="285" spans="2:3" ht="15.75" customHeight="1" x14ac:dyDescent="0.15"/>
    <row r="286" spans="2:3" ht="15.75" customHeight="1" x14ac:dyDescent="0.15"/>
    <row r="287" spans="2:3" ht="15.75" customHeight="1" x14ac:dyDescent="0.15"/>
    <row r="288" spans="2:3"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chini_reported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Abigayle Hodson</cp:lastModifiedBy>
  <dcterms:created xsi:type="dcterms:W3CDTF">2026-10-23T21:16:33Z</dcterms:created>
  <dcterms:modified xsi:type="dcterms:W3CDTF">2026-10-23T21:16:33Z</dcterms:modified>
</cp:coreProperties>
</file>